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a8eee0329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eb27ad98af4c11"/>
    <x:sheet xmlns:r="http://schemas.openxmlformats.org/officeDocument/2006/relationships" name="Paired Summary" sheetId="2" r:id="Rb1eb8b2e865447b7"/>
    <x:sheet xmlns:r="http://schemas.openxmlformats.org/officeDocument/2006/relationships" name="Case Pairs" sheetId="3" r:id="R3af516adeac04a82"/>
    <x:sheet xmlns:r="http://schemas.openxmlformats.org/officeDocument/2006/relationships" name="Failure Taxonomy" sheetId="4" r:id="Ra0f3b62aee2641ba"/>
    <x:sheet xmlns:r="http://schemas.openxmlformats.org/officeDocument/2006/relationships" name="Duplicate Audit" sheetId="5" r:id="R8bd616e7962147df"/>
    <x:sheet xmlns:r="http://schemas.openxmlformats.org/officeDocument/2006/relationships" name="Representative Cases" sheetId="6" r:id="R3cc150b92357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AAB7C4"/>
      </x:left>
      <x:right style="thin">
        <x:color rgb="FFAAB7C4"/>
      </x:right>
      <x:top style="thin">
        <x:color rgb="FFAAB7C4"/>
      </x:top>
    </x:border>
    <x:border>
      <x:left style="thin">
        <x:color rgb="FFAAB7C4"/>
      </x:left>
      <x:right style="thin">
        <x:color rgb="FFAAB7C4"/>
      </x:right>
    </x:border>
    <x:border>
      <x:left style="thin">
        <x:color rgb="FFAAB7C4"/>
      </x:left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right style="thin">
        <x:color rgb="FFD9E1E8"/>
      </x:right>
      <x:top style="thin">
        <x:color rgb="FFAAB7C4"/>
      </x:top>
      <x:bottom style="thin">
        <x:color rgb="FFD9E1E8"/>
      </x:bottom>
    </x:border>
    <x:border>
      <x:left style="thin">
        <x:color rgb="FFD9E1E8"/>
      </x:left>
      <x:right style="thin">
        <x:color rgb="FFAAB7C4"/>
      </x:right>
      <x:top style="thin">
        <x:color rgb="FFAAB7C4"/>
      </x:top>
      <x:bottom style="thin">
        <x:color rgb="FFD9E1E8"/>
      </x:bottom>
    </x:border>
    <x:border>
      <x:left style="thin">
        <x:color rgb="FFAAB7C4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AAB7C4"/>
      </x:right>
      <x:top style="thin">
        <x:color rgb="FFD9E1E8"/>
      </x:top>
      <x:bottom style="thin">
        <x:color rgb="FFD9E1E8"/>
      </x:bottom>
    </x:border>
    <x:border>
      <x:left style="thin">
        <x:color rgb="FFAAB7C4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AAB7C4"/>
      </x:right>
      <x:top style="thin">
        <x:color rgb="FFD9E1E8"/>
      </x:top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1E8"/>
      </x:left>
      <x:right style="thin">
        <x:color rgb="FFD9E1E8"/>
      </x:right>
      <x:top style="thin">
        <x:color rgb="FFAAB7C4"/>
      </x:top>
      <x:bottom style="thin">
        <x:color rgb="FFD9E1E8"/>
      </x:bottom>
    </x:border>
    <x:border>
      <x:left style="thin">
        <x:color rgb="FFD9E1E8"/>
      </x:left>
      <x:top style="thin">
        <x:color rgb="FFAAB7C4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left style="thin">
        <x:color rgb="FFAAB7C4"/>
      </x:left>
      <x:right style="thin">
        <x:color rgb="FFD9E1E8"/>
      </x:right>
      <x:top style="thin">
        <x:color rgb="FFD9E1E8"/>
      </x:top>
      <x:bottom style="thin">
        <x:color rgb="FFAAB7C4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AAB7C4"/>
      </x:bottom>
    </x:border>
    <x:border>
      <x:left style="thin">
        <x:color rgb="FFD9E1E8"/>
      </x:left>
      <x:top style="thin">
        <x:color rgb="FFD9E1E8"/>
      </x:top>
      <x:bottom style="thin">
        <x:color rgb="FFAAB7C4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2" borderId="1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1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fe5731a3749de" /><Relationship Type="http://schemas.openxmlformats.org/officeDocument/2006/relationships/theme" Target="/xl/theme/theme1.xml" Id="Rb172c46a8ba549af" /><Relationship Type="http://schemas.microsoft.com/office/2022/11/relationships/FeaturePropertyBag" Target="/xl/featurePropertyBag/featurePropertyBag.xml" Id="Rdb9ee383395c41d8" /><Relationship Type="http://schemas.openxmlformats.org/officeDocument/2006/relationships/sharedStrings" Target="/xl/sharedStrings.xml" Id="Re5d3c951ee6d44a4" /><Relationship Type="http://schemas.openxmlformats.org/officeDocument/2006/relationships/worksheet" Target="/xl/worksheets/sheet1.xml" Id="Rb7eb27ad98af4c11" /><Relationship Type="http://schemas.openxmlformats.org/officeDocument/2006/relationships/worksheet" Target="/xl/worksheets/sheet2.xml" Id="Rb1eb8b2e865447b7" /><Relationship Type="http://schemas.openxmlformats.org/officeDocument/2006/relationships/worksheet" Target="/xl/worksheets/sheet3.xml" Id="R3af516adeac04a82" /><Relationship Type="http://schemas.openxmlformats.org/officeDocument/2006/relationships/worksheet" Target="/xl/worksheets/sheet4.xml" Id="Ra0f3b62aee2641ba" /><Relationship Type="http://schemas.openxmlformats.org/officeDocument/2006/relationships/worksheet" Target="/xl/worksheets/sheet5.xml" Id="R8bd616e7962147df" /><Relationship Type="http://schemas.openxmlformats.org/officeDocument/2006/relationships/worksheet" Target="/xl/worksheets/sheet6.xml" Id="R3cc150b923574d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sePairsTable" displayName="CasePairsTable" ref="A1:N652" headerRowCount="1" totalsRowCount="0" totalsRowShown="0">
  <x:tableColumns count="14">
    <x:tableColumn id="1" name="comparison"/>
    <x:tableColumn id="2" name="metric"/>
    <x:tableColumn id="3" name="query_id"/>
    <x:tableColumn id="4" name="question"/>
    <x:tableColumn id="5" name="baseline_arm"/>
    <x:tableColumn id="6" name="treatment_arm"/>
    <x:tableColumn id="7" name="baseline_rate"/>
    <x:tableColumn id="8" name="treatment_rate"/>
    <x:tableColumn id="9" name="delta"/>
    <x:tableColumn id="10" name="direction"/>
    <x:tableColumn id="11" name="baseline_positive"/>
    <x:tableColumn id="12" name="baseline_denominator"/>
    <x:tableColumn id="13" name="treatment_positive"/>
    <x:tableColumn id="14" name="treatment_denomin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TaxonomyTable" displayName="FailureTaxonomyTable" ref="A1:I31" headerRowCount="1" totalsRowCount="0" totalsRowShown="0">
  <x:tableColumns count="9">
    <x:tableColumn id="1" name="unit_type"/>
    <x:tableColumn id="2" name="arm"/>
    <x:tableColumn id="3" name="error_type"/>
    <x:tableColumn id="4" name="error_rows"/>
    <x:tableColumn id="5" name="all_rows_in_arm_unit"/>
    <x:tableColumn id="6" name="error_row_rate"/>
    <x:tableColumn id="7" name="rows_with_any_error"/>
    <x:tableColumn id="8" name="any_error_rate"/>
    <x:tableColumn id="9" name="taxonom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AuditTable" displayName="DuplicateAuditTable" ref="A15:K544" headerRowCount="1" totalsRowCount="0" totalsRowShown="0">
  <x:tableColumns count="11">
    <x:tableColumn id="1" name="comparison"/>
    <x:tableColumn id="2" name="query_id"/>
    <x:tableColumn id="3" name="question"/>
    <x:tableColumn id="4" name="metric"/>
    <x:tableColumn id="5" name="claim_text"/>
    <x:tableColumn id="6" name="source_span_text"/>
    <x:tableColumn id="7" name="baseline_label"/>
    <x:tableColumn id="8" name="treatment_label"/>
    <x:tableColumn id="9" name="agreement"/>
    <x:tableColumn id="10" name="baseline_errors"/>
    <x:tableColumn id="11" name="treatment_erro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resentativeCasesTable" displayName="RepresentativeCasesTable" ref="A1:P9" headerRowCount="1" totalsRowCount="0" totalsRowShown="0">
  <x:tableColumns count="16">
    <x:tableColumn id="1" name="comparison"/>
    <x:tableColumn id="2" name="metric"/>
    <x:tableColumn id="3" name="direction"/>
    <x:tableColumn id="4" name="query_id"/>
    <x:tableColumn id="5" name="question"/>
    <x:tableColumn id="6" name="baseline_arm"/>
    <x:tableColumn id="7" name="baseline_text"/>
    <x:tableColumn id="8" name="baseline_source_span"/>
    <x:tableColumn id="9" name="baseline_errors"/>
    <x:tableColumn id="10" name="baseline_coverage"/>
    <x:tableColumn id="11" name="treatment_arm"/>
    <x:tableColumn id="12" name="treatment_text"/>
    <x:tableColumn id="13" name="treatment_source_span"/>
    <x:tableColumn id="14" name="treatment_errors"/>
    <x:tableColumn id="15" name="treatment_coverage"/>
    <x:tableColumn id="16" name="interpret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d54fd581dd2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aec23fb913245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18e6531144f44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de3089eeb0c49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3" t="str">
        <x:v>G-A12 Case-level Paired Analysis and Failure Taxonomy</x:v>
      </x:c>
      <x:c r="B1" s="3" t="str">
        <x:v>G-A12 Case-level Paired Analysis and Failure Taxonomy</x:v>
      </x:c>
    </x:row>
    <x:row r="3" ht="28" customHeight="1">
      <x:c r="A3" s="16" t="str">
        <x:v>Status</x:v>
      </x:c>
      <x:c r="B3" s="17" t="str">
        <x:v>Exploratory post-hoc analysis; it does not replace the preregistered descriptive conclusions.</x:v>
      </x:c>
    </x:row>
    <x:row r="4" ht="28" customHeight="1">
      <x:c r="A4" s="18" t="str">
        <x:v>Frozen source</x:v>
      </x:c>
      <x:c r="B4" s="19" t="str">
        <x:v>results/generator-a1-a2-ablation/annotation_unblinded.csv (639 rows)</x:v>
      </x:c>
    </x:row>
    <x:row r="5" ht="28" customHeight="1">
      <x:c r="A5" s="18" t="str">
        <x:v>Pairing</x:v>
      </x:c>
      <x:c r="B5" s="19" t="str">
        <x:v>A1: old vs new by query. A2: old_old vs old_new and new_old vs new_new, preserving identical A1 answers within each pair.</x:v>
      </x:c>
    </x:row>
    <x:row r="6" ht="28" customHeight="1">
      <x:c r="A6" s="18" t="str">
        <x:v>Case weighting</x:v>
      </x:c>
      <x:c r="B6" s="19" t="str">
        <x:v>Each eligible query receives equal weight. This macro view may differ from the published claim-weighted micro proportions.</x:v>
      </x:c>
    </x:row>
    <x:row r="7" ht="28" customHeight="1">
      <x:c r="A7" s="18" t="str">
        <x:v>Coverage score</x:v>
      </x:c>
      <x:c r="B7" s="19" t="str">
        <x:v>none=0, partial=0.5, complete=1; NA pairs excluded. Category labels remain visible in Case Pairs.</x:v>
      </x:c>
    </x:row>
    <x:row r="8" ht="28" customHeight="1">
      <x:c r="A8" s="18" t="str">
        <x:v>Bootstrap</x:v>
      </x:c>
      <x:c r="B8" s="19" t="str">
        <x:v>10,000 query-level resamples with replacement; seed 20260819. CIs are exploratory, not preregistered significance tests.</x:v>
      </x:c>
    </x:row>
    <x:row r="9" ht="28" customHeight="1">
      <x:c r="A9" s="18" t="str">
        <x:v>Failure taxonomy</x:v>
      </x:c>
      <x:c r="B9" s="19" t="str">
        <x:v>Multi-label annotations from error_type. A row may contribute to several error types.</x:v>
      </x:c>
    </x:row>
    <x:row r="10" ht="28" customHeight="1">
      <x:c r="A10" s="18" t="str">
        <x:v>A1 direction</x:v>
      </x:c>
      <x:c r="B10" s="19" t="str">
        <x:v>Higher is better except unresolved_pronoun, where a negative delta is an improvement.</x:v>
      </x:c>
    </x:row>
    <x:row r="11" ht="28" customHeight="1">
      <x:c r="A11" s="18" t="str">
        <x:v>A2 interpretation</x:v>
      </x:c>
      <x:c r="B11" s="19" t="str">
        <x:v>Small case-level changes and wide intervals indicate that improvements are concentrated in a few cases.</x:v>
      </x:c>
    </x:row>
    <x:row r="12" ht="28" customHeight="1">
      <x:c r="A12" s="20" t="str">
        <x:v>Do not claim</x:v>
      </x:c>
      <x:c r="B12" s="21" t="str">
        <x:v>No held-out generalisation, downstream verifier gain, end-to-end correctness gain, or statistical significance.</x:v>
      </x:c>
    </x:row>
    <x:row r="14">
      <x:c r="A14" s="24" t="str">
        <x:v>Interpretation rule: use the paired analysis to explain heterogeneity and failure modes, not to overwrite the frozen G-A12 headline metrics.</x:v>
      </x:c>
      <x:c r="B14" s="24" t="str">
        <x:v>Interpretation rule: use the paired analysis to explain heterogeneity and failure modes, not to overwrite the frozen G-A12 headline metrics.</x:v>
      </x:c>
      <x:c r="C14" s="24" t="str">
        <x:v>Interpretation rule: use the paired analysis to explain heterogeneity and failure modes, not to overwrite the frozen G-A12 headline metrics.</x:v>
      </x:c>
      <x:c r="D14" s="24" t="str">
        <x:v>Interpretation rule: use the paired analysis to explain heterogeneity and failure modes, not to overwrite the frozen G-A12 headline metrics.</x:v>
      </x:c>
      <x:c r="E14" s="24" t="str">
        <x:v>Interpretation rule: use the paired analysis to explain heterogeneity and failure modes, not to overwrite the frozen G-A12 headline metrics.</x:v>
      </x:c>
      <x:c r="F14" s="24" t="str">
        <x:v>Interpretation rule: use the paired analysis to explain heterogeneity and failure modes, not to overwrite the frozen G-A12 headline metrics.</x:v>
      </x:c>
      <x:c r="G14" s="24" t="str">
        <x:v>Interpretation rule: use the paired analysis to explain heterogeneity and failure modes, not to overwrite the frozen G-A12 headline metrics.</x:v>
      </x:c>
      <x:c r="H14" s="24" t="str">
        <x:v>Interpretation rule: use the paired analysis to explain heterogeneity and failure modes, not to overwrite the frozen G-A12 headline metrics.</x:v>
      </x:c>
    </x:row>
  </x:sheetData>
  <x:mergeCells>
    <x:mergeCell ref="A1:B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4" hidden="0" customWidth="1"/>
  </x:cols>
  <x:sheetData>
    <x:row r="1" ht="30" customHeight="1">
      <x:c r="A1" s="3" t="str">
        <x:v>Exploratory case-level paired results</x:v>
      </x:c>
      <x:c r="B1" s="3" t="str">
        <x:v>Exploratory case-level paired results</x:v>
      </x:c>
      <x:c r="C1" s="3" t="str">
        <x:v>Exploratory case-level paired results</x:v>
      </x:c>
      <x:c r="D1" s="3" t="str">
        <x:v>Exploratory case-level paired results</x:v>
      </x:c>
      <x:c r="E1" s="3" t="str">
        <x:v>Exploratory case-level paired results</x:v>
      </x:c>
      <x:c r="F1" s="3" t="str">
        <x:v>Exploratory case-level paired results</x:v>
      </x:c>
      <x:c r="G1" s="3" t="str">
        <x:v>Exploratory case-level paired results</x:v>
      </x:c>
      <x:c r="H1" s="3" t="str">
        <x:v>Exploratory case-level paired results</x:v>
      </x:c>
      <x:c r="I1" s="3" t="str">
        <x:v>Exploratory case-level paired results</x:v>
      </x:c>
      <x:c r="J1" s="3" t="str">
        <x:v>Exploratory case-level paired results</x:v>
      </x:c>
    </x:row>
    <x:row r="2">
      <x:c r="A2" s="37" t="str">
        <x:v>Mean delta and direction counts are formula-linked to Case Pairs. Bootstrap intervals were computed by query-level resampling (10,000 iterations, seed 20260819).</x:v>
      </x:c>
      <x:c r="B2" s="37" t="str">
        <x:v>Mean delta and direction counts are formula-linked to Case Pairs. Bootstrap intervals were computed by query-level resampling (10,000 iterations, seed 20260819).</x:v>
      </x:c>
      <x:c r="C2" s="37" t="str">
        <x:v>Mean delta and direction counts are formula-linked to Case Pairs. Bootstrap intervals were computed by query-level resampling (10,000 iterations, seed 20260819).</x:v>
      </x:c>
      <x:c r="D2" s="37" t="str">
        <x:v>Mean delta and direction counts are formula-linked to Case Pairs. Bootstrap intervals were computed by query-level resampling (10,000 iterations, seed 20260819).</x:v>
      </x:c>
      <x:c r="E2" s="37" t="str">
        <x:v>Mean delta and direction counts are formula-linked to Case Pairs. Bootstrap intervals were computed by query-level resampling (10,000 iterations, seed 20260819).</x:v>
      </x:c>
      <x:c r="F2" s="37" t="str">
        <x:v>Mean delta and direction counts are formula-linked to Case Pairs. Bootstrap intervals were computed by query-level resampling (10,000 iterations, seed 20260819).</x:v>
      </x:c>
      <x:c r="G2" s="37" t="str">
        <x:v>Mean delta and direction counts are formula-linked to Case Pairs. Bootstrap intervals were computed by query-level resampling (10,000 iterations, seed 20260819).</x:v>
      </x:c>
      <x:c r="H2" s="37" t="str">
        <x:v>Mean delta and direction counts are formula-linked to Case Pairs. Bootstrap intervals were computed by query-level resampling (10,000 iterations, seed 20260819).</x:v>
      </x:c>
      <x:c r="I2" s="37" t="str">
        <x:v>Mean delta and direction counts are formula-linked to Case Pairs. Bootstrap intervals were computed by query-level resampling (10,000 iterations, seed 20260819).</x:v>
      </x:c>
      <x:c r="J2" s="37" t="str">
        <x:v>Mean delta and direction counts are formula-linked to Case Pairs. Bootstrap intervals were computed by query-level resampling (10,000 iterations, seed 20260819).</x:v>
      </x:c>
    </x:row>
    <x:row r="4" ht="28" customHeight="1">
      <x:c r="A4" s="16" t="str">
        <x:v>comparison</x:v>
      </x:c>
      <x:c r="B4" s="38" t="str">
        <x:v>metric</x:v>
      </x:c>
      <x:c r="C4" s="38" t="str">
        <x:v>paired n</x:v>
      </x:c>
      <x:c r="D4" s="38" t="str">
        <x:v>mean delta</x:v>
      </x:c>
      <x:c r="E4" s="38" t="str">
        <x:v>CI low</x:v>
      </x:c>
      <x:c r="F4" s="38" t="str">
        <x:v>CI high</x:v>
      </x:c>
      <x:c r="G4" s="38" t="str">
        <x:v>improved</x:v>
      </x:c>
      <x:c r="H4" s="38" t="str">
        <x:v>unchanged</x:v>
      </x:c>
      <x:c r="I4" s="38" t="str">
        <x:v>regressed</x:v>
      </x:c>
      <x:c r="J4" s="39" t="str">
        <x:v>status</x:v>
      </x:c>
    </x:row>
    <x:row r="5">
      <x:c r="A5" s="48" t="str">
        <x:v>a1_new_minus_old</x:v>
      </x:c>
      <x:c r="B5" s="49" t="str">
        <x:v>atomic</x:v>
      </x:c>
      <x:c r="C5" s="41" t="n">
        <x:f>COUNTIFS('Case Pairs'!$A$2:$A$652,A5,'Case Pairs'!$B$2:$B$652,B5)</x:f>
        <x:v>43</x:v>
      </x:c>
      <x:c r="D5" s="42" t="n">
        <x:f>AVERAGEIFS('Case Pairs'!$I$2:$I$652,'Case Pairs'!$A$2:$A$652,A5,'Case Pairs'!$B$2:$B$652,B5)</x:f>
        <x:v>0.07751937984496125</x:v>
      </x:c>
      <x:c r="E5" s="42" t="n">
        <x:v>-0.007751937984496122</x:v>
      </x:c>
      <x:c r="F5" s="42" t="n">
        <x:v>0.16279069767441862</x:v>
      </x:c>
      <x:c r="G5" s="41" t="n">
        <x:f>COUNTIFS('Case Pairs'!$A$2:$A$652,A5,'Case Pairs'!$B$2:$B$652,B5,'Case Pairs'!$J$2:$J$652,"improved")</x:f>
        <x:v>8</x:v>
      </x:c>
      <x:c r="H5" s="41" t="n">
        <x:f>COUNTIFS('Case Pairs'!$A$2:$A$652,A5,'Case Pairs'!$B$2:$B$652,B5,'Case Pairs'!$J$2:$J$652,"unchanged")</x:f>
        <x:v>34</x:v>
      </x:c>
      <x:c r="I5" s="41" t="n">
        <x:f>COUNTIFS('Case Pairs'!$A$2:$A$652,A5,'Case Pairs'!$B$2:$B$652,B5,'Case Pairs'!$J$2:$J$652,"regressed")</x:f>
        <x:v>1</x:v>
      </x:c>
      <x:c r="J5" s="43" t="str">
        <x:v>exploratory_post_hoc</x:v>
      </x:c>
    </x:row>
    <x:row r="6">
      <x:c r="A6" s="48" t="str">
        <x:v>a1_new_minus_old</x:v>
      </x:c>
      <x:c r="B6" s="49" t="str">
        <x:v>self_contained</x:v>
      </x:c>
      <x:c r="C6" s="41" t="n">
        <x:f>COUNTIFS('Case Pairs'!$A$2:$A$652,A6,'Case Pairs'!$B$2:$B$652,B6)</x:f>
        <x:v>50</x:v>
      </x:c>
      <x:c r="D6" s="42" t="n">
        <x:f>AVERAGEIFS('Case Pairs'!$I$2:$I$652,'Case Pairs'!$A$2:$A$652,A6,'Case Pairs'!$B$2:$B$652,B6)</x:f>
        <x:v>0.2853333333333333</x:v>
      </x:c>
      <x:c r="E6" s="42" t="n">
        <x:v>0.202</x:v>
      </x:c>
      <x:c r="F6" s="42" t="n">
        <x:v>0.3716666666666667</x:v>
      </x:c>
      <x:c r="G6" s="41" t="n">
        <x:f>COUNTIFS('Case Pairs'!$A$2:$A$652,A6,'Case Pairs'!$B$2:$B$652,B6,'Case Pairs'!$J$2:$J$652,"improved")</x:f>
        <x:v>25</x:v>
      </x:c>
      <x:c r="H6" s="41" t="n">
        <x:f>COUNTIFS('Case Pairs'!$A$2:$A$652,A6,'Case Pairs'!$B$2:$B$652,B6,'Case Pairs'!$J$2:$J$652,"unchanged")</x:f>
        <x:v>24</x:v>
      </x:c>
      <x:c r="I6" s="41" t="n">
        <x:f>COUNTIFS('Case Pairs'!$A$2:$A$652,A6,'Case Pairs'!$B$2:$B$652,B6,'Case Pairs'!$J$2:$J$652,"regressed")</x:f>
        <x:v>1</x:v>
      </x:c>
      <x:c r="J6" s="43" t="str">
        <x:v>exploratory_post_hoc</x:v>
      </x:c>
    </x:row>
    <x:row r="7">
      <x:c r="A7" s="48" t="str">
        <x:v>a1_new_minus_old</x:v>
      </x:c>
      <x:c r="B7" s="49" t="str">
        <x:v>verifiable</x:v>
      </x:c>
      <x:c r="C7" s="41" t="n">
        <x:f>COUNTIFS('Case Pairs'!$A$2:$A$652,A7,'Case Pairs'!$B$2:$B$652,B7)</x:f>
        <x:v>50</x:v>
      </x:c>
      <x:c r="D7" s="42" t="n">
        <x:f>AVERAGEIFS('Case Pairs'!$I$2:$I$652,'Case Pairs'!$A$2:$A$652,A7,'Case Pairs'!$B$2:$B$652,B7)</x:f>
        <x:v>0.2046666666666667</x:v>
      </x:c>
      <x:c r="E7" s="42" t="n">
        <x:v>0.129</x:v>
      </x:c>
      <x:c r="F7" s="42" t="n">
        <x:v>0.2813333333333333</x:v>
      </x:c>
      <x:c r="G7" s="41" t="n">
        <x:f>COUNTIFS('Case Pairs'!$A$2:$A$652,A7,'Case Pairs'!$B$2:$B$652,B7,'Case Pairs'!$J$2:$J$652,"improved")</x:f>
        <x:v>24</x:v>
      </x:c>
      <x:c r="H7" s="41" t="n">
        <x:f>COUNTIFS('Case Pairs'!$A$2:$A$652,A7,'Case Pairs'!$B$2:$B$652,B7,'Case Pairs'!$J$2:$J$652,"unchanged")</x:f>
        <x:v>23</x:v>
      </x:c>
      <x:c r="I7" s="41" t="n">
        <x:f>COUNTIFS('Case Pairs'!$A$2:$A$652,A7,'Case Pairs'!$B$2:$B$652,B7,'Case Pairs'!$J$2:$J$652,"regressed")</x:f>
        <x:v>3</x:v>
      </x:c>
      <x:c r="J7" s="43" t="str">
        <x:v>exploratory_post_hoc</x:v>
      </x:c>
    </x:row>
    <x:row r="8">
      <x:c r="A8" s="48" t="str">
        <x:v>a1_new_minus_old</x:v>
      </x:c>
      <x:c r="B8" s="49" t="str">
        <x:v>unresolved_pronoun</x:v>
      </x:c>
      <x:c r="C8" s="41" t="n">
        <x:f>COUNTIFS('Case Pairs'!$A$2:$A$652,A8,'Case Pairs'!$B$2:$B$652,B8)</x:f>
        <x:v>49</x:v>
      </x:c>
      <x:c r="D8" s="42" t="n">
        <x:f>AVERAGEIFS('Case Pairs'!$I$2:$I$652,'Case Pairs'!$A$2:$A$652,A8,'Case Pairs'!$B$2:$B$652,B8)</x:f>
        <x:v>-0.08401360544217686</x:v>
      </x:c>
      <x:c r="E8" s="42" t="n">
        <x:v>-0.13401360544217686</x:v>
      </x:c>
      <x:c r="F8" s="42" t="n">
        <x:v>-0.04081632653061224</x:v>
      </x:c>
      <x:c r="G8" s="41" t="n">
        <x:f>COUNTIFS('Case Pairs'!$A$2:$A$652,A8,'Case Pairs'!$B$2:$B$652,B8,'Case Pairs'!$J$2:$J$652,"improved")</x:f>
        <x:v>11</x:v>
      </x:c>
      <x:c r="H8" s="41" t="n">
        <x:f>COUNTIFS('Case Pairs'!$A$2:$A$652,A8,'Case Pairs'!$B$2:$B$652,B8,'Case Pairs'!$J$2:$J$652,"unchanged")</x:f>
        <x:v>38</x:v>
      </x:c>
      <x:c r="I8" s="41" t="n">
        <x:f>COUNTIFS('Case Pairs'!$A$2:$A$652,A8,'Case Pairs'!$B$2:$B$652,B8,'Case Pairs'!$J$2:$J$652,"regressed")</x:f>
        <x:v>0</x:v>
      </x:c>
      <x:c r="J8" s="43" t="str">
        <x:v>exploratory_post_hoc</x:v>
      </x:c>
    </x:row>
    <x:row r="9">
      <x:c r="A9" s="48" t="str">
        <x:v>a2_new_minus_old_on_old_a1</x:v>
      </x:c>
      <x:c r="B9" s="49" t="str">
        <x:v>atomic</x:v>
      </x:c>
      <x:c r="C9" s="41" t="n">
        <x:f>COUNTIFS('Case Pairs'!$A$2:$A$652,A9,'Case Pairs'!$B$2:$B$652,B9)</x:f>
        <x:v>42</x:v>
      </x:c>
      <x:c r="D9" s="42" t="n">
        <x:f>AVERAGEIFS('Case Pairs'!$I$2:$I$652,'Case Pairs'!$A$2:$A$652,A9,'Case Pairs'!$B$2:$B$652,B9)</x:f>
        <x:v>-0.015873015873015872</x:v>
      </x:c>
      <x:c r="E9" s="42" t="n">
        <x:v>-0.07142857142857142</x:v>
      </x:c>
      <x:c r="F9" s="42" t="n">
        <x:v>0.02380952380952381</x:v>
      </x:c>
      <x:c r="G9" s="41" t="n">
        <x:f>COUNTIFS('Case Pairs'!$A$2:$A$652,A9,'Case Pairs'!$B$2:$B$652,B9,'Case Pairs'!$J$2:$J$652,"improved")</x:f>
        <x:v>1</x:v>
      </x:c>
      <x:c r="H9" s="41" t="n">
        <x:f>COUNTIFS('Case Pairs'!$A$2:$A$652,A9,'Case Pairs'!$B$2:$B$652,B9,'Case Pairs'!$J$2:$J$652,"unchanged")</x:f>
        <x:v>40</x:v>
      </x:c>
      <x:c r="I9" s="41" t="n">
        <x:f>COUNTIFS('Case Pairs'!$A$2:$A$652,A9,'Case Pairs'!$B$2:$B$652,B9,'Case Pairs'!$J$2:$J$652,"regressed")</x:f>
        <x:v>1</x:v>
      </x:c>
      <x:c r="J9" s="43" t="str">
        <x:v>exploratory_post_hoc</x:v>
      </x:c>
    </x:row>
    <x:row r="10">
      <x:c r="A10" s="48" t="str">
        <x:v>a2_new_minus_old_on_old_a1</x:v>
      </x:c>
      <x:c r="B10" s="49" t="str">
        <x:v>self_contained</x:v>
      </x:c>
      <x:c r="C10" s="41" t="n">
        <x:f>COUNTIFS('Case Pairs'!$A$2:$A$652,A10,'Case Pairs'!$B$2:$B$652,B10)</x:f>
        <x:v>43</x:v>
      </x:c>
      <x:c r="D10" s="42" t="n">
        <x:f>AVERAGEIFS('Case Pairs'!$I$2:$I$652,'Case Pairs'!$A$2:$A$652,A10,'Case Pairs'!$B$2:$B$652,B10)</x:f>
        <x:v>-0.015503875968992248</x:v>
      </x:c>
      <x:c r="E10" s="42" t="n">
        <x:v>-0.08527131782945736</x:v>
      </x:c>
      <x:c r="F10" s="42" t="n">
        <x:v>0.05426356589147287</x:v>
      </x:c>
      <x:c r="G10" s="41" t="n">
        <x:f>COUNTIFS('Case Pairs'!$A$2:$A$652,A10,'Case Pairs'!$B$2:$B$652,B10,'Case Pairs'!$J$2:$J$652,"improved")</x:f>
        <x:v>1</x:v>
      </x:c>
      <x:c r="H10" s="41" t="n">
        <x:f>COUNTIFS('Case Pairs'!$A$2:$A$652,A10,'Case Pairs'!$B$2:$B$652,B10,'Case Pairs'!$J$2:$J$652,"unchanged")</x:f>
        <x:v>39</x:v>
      </x:c>
      <x:c r="I10" s="41" t="n">
        <x:f>COUNTIFS('Case Pairs'!$A$2:$A$652,A10,'Case Pairs'!$B$2:$B$652,B10,'Case Pairs'!$J$2:$J$652,"regressed")</x:f>
        <x:v>3</x:v>
      </x:c>
      <x:c r="J10" s="43" t="str">
        <x:v>exploratory_post_hoc</x:v>
      </x:c>
    </x:row>
    <x:row r="11">
      <x:c r="A11" s="48" t="str">
        <x:v>a2_new_minus_old_on_old_a1</x:v>
      </x:c>
      <x:c r="B11" s="49" t="str">
        <x:v>span_aligned</x:v>
      </x:c>
      <x:c r="C11" s="41" t="n">
        <x:f>COUNTIFS('Case Pairs'!$A$2:$A$652,A11,'Case Pairs'!$B$2:$B$652,B11)</x:f>
        <x:v>43</x:v>
      </x:c>
      <x:c r="D11" s="42" t="n">
        <x:f>AVERAGEIFS('Case Pairs'!$I$2:$I$652,'Case Pairs'!$A$2:$A$652,A11,'Case Pairs'!$B$2:$B$652,B11)</x:f>
        <x:v>0.02906976744186046</x:v>
      </x:c>
      <x:c r="E11" s="42" t="n">
        <x:v>-0.025193798449612406</x:v>
      </x:c>
      <x:c r="F11" s="42" t="n">
        <x:v>0.09689922480620156</x:v>
      </x:c>
      <x:c r="G11" s="41" t="n">
        <x:f>COUNTIFS('Case Pairs'!$A$2:$A$652,A11,'Case Pairs'!$B$2:$B$652,B11,'Case Pairs'!$J$2:$J$652,"improved")</x:f>
        <x:v>4</x:v>
      </x:c>
      <x:c r="H11" s="41" t="n">
        <x:f>COUNTIFS('Case Pairs'!$A$2:$A$652,A11,'Case Pairs'!$B$2:$B$652,B11,'Case Pairs'!$J$2:$J$652,"unchanged")</x:f>
        <x:v>37</x:v>
      </x:c>
      <x:c r="I11" s="41" t="n">
        <x:f>COUNTIFS('Case Pairs'!$A$2:$A$652,A11,'Case Pairs'!$B$2:$B$652,B11,'Case Pairs'!$J$2:$J$652,"regressed")</x:f>
        <x:v>2</x:v>
      </x:c>
      <x:c r="J11" s="43" t="str">
        <x:v>exploratory_post_hoc</x:v>
      </x:c>
    </x:row>
    <x:row r="12">
      <x:c r="A12" s="48" t="str">
        <x:v>a2_new_minus_old_on_old_a1</x:v>
      </x:c>
      <x:c r="B12" s="49" t="str">
        <x:v>rewrite_faithful</x:v>
      </x:c>
      <x:c r="C12" s="41" t="n">
        <x:f>COUNTIFS('Case Pairs'!$A$2:$A$652,A12,'Case Pairs'!$B$2:$B$652,B12)</x:f>
        <x:v>43</x:v>
      </x:c>
      <x:c r="D12" s="42" t="n">
        <x:f>AVERAGEIFS('Case Pairs'!$I$2:$I$652,'Case Pairs'!$A$2:$A$652,A12,'Case Pairs'!$B$2:$B$652,B12)</x:f>
        <x:v>0.05232558139534884</x:v>
      </x:c>
      <x:c r="E12" s="42" t="n">
        <x:v>-0.015503875968992248</x:v>
      </x:c>
      <x:c r="F12" s="42" t="n">
        <x:v>0.13372093023255813</x:v>
      </x:c>
      <x:c r="G12" s="41" t="n">
        <x:f>COUNTIFS('Case Pairs'!$A$2:$A$652,A12,'Case Pairs'!$B$2:$B$652,B12,'Case Pairs'!$J$2:$J$652,"improved")</x:f>
        <x:v>5</x:v>
      </x:c>
      <x:c r="H12" s="41" t="n">
        <x:f>COUNTIFS('Case Pairs'!$A$2:$A$652,A12,'Case Pairs'!$B$2:$B$652,B12,'Case Pairs'!$J$2:$J$652,"unchanged")</x:f>
        <x:v>36</x:v>
      </x:c>
      <x:c r="I12" s="41" t="n">
        <x:f>COUNTIFS('Case Pairs'!$A$2:$A$652,A12,'Case Pairs'!$B$2:$B$652,B12,'Case Pairs'!$J$2:$J$652,"regressed")</x:f>
        <x:v>2</x:v>
      </x:c>
      <x:c r="J12" s="43" t="str">
        <x:v>exploratory_post_hoc</x:v>
      </x:c>
    </x:row>
    <x:row r="13">
      <x:c r="A13" s="48" t="str">
        <x:v>a2_new_minus_old_on_new_a1</x:v>
      </x:c>
      <x:c r="B13" s="49" t="str">
        <x:v>atomic</x:v>
      </x:c>
      <x:c r="C13" s="41" t="n">
        <x:f>COUNTIFS('Case Pairs'!$A$2:$A$652,A13,'Case Pairs'!$B$2:$B$652,B13)</x:f>
        <x:v>48</x:v>
      </x:c>
      <x:c r="D13" s="42" t="n">
        <x:f>AVERAGEIFS('Case Pairs'!$I$2:$I$652,'Case Pairs'!$A$2:$A$652,A13,'Case Pairs'!$B$2:$B$652,B13)</x:f>
        <x:v>0</x:v>
      </x:c>
      <x:c r="E13" s="42" t="n">
        <x:v>0</x:v>
      </x:c>
      <x:c r="F13" s="42" t="n">
        <x:v>0</x:v>
      </x:c>
      <x:c r="G13" s="41" t="n">
        <x:f>COUNTIFS('Case Pairs'!$A$2:$A$652,A13,'Case Pairs'!$B$2:$B$652,B13,'Case Pairs'!$J$2:$J$652,"improved")</x:f>
        <x:v>0</x:v>
      </x:c>
      <x:c r="H13" s="41" t="n">
        <x:f>COUNTIFS('Case Pairs'!$A$2:$A$652,A13,'Case Pairs'!$B$2:$B$652,B13,'Case Pairs'!$J$2:$J$652,"unchanged")</x:f>
        <x:v>48</x:v>
      </x:c>
      <x:c r="I13" s="41" t="n">
        <x:f>COUNTIFS('Case Pairs'!$A$2:$A$652,A13,'Case Pairs'!$B$2:$B$652,B13,'Case Pairs'!$J$2:$J$652,"regressed")</x:f>
        <x:v>0</x:v>
      </x:c>
      <x:c r="J13" s="43" t="str">
        <x:v>exploratory_post_hoc</x:v>
      </x:c>
    </x:row>
    <x:row r="14">
      <x:c r="A14" s="48" t="str">
        <x:v>a2_new_minus_old_on_new_a1</x:v>
      </x:c>
      <x:c r="B14" s="49" t="str">
        <x:v>self_contained</x:v>
      </x:c>
      <x:c r="C14" s="41" t="n">
        <x:f>COUNTIFS('Case Pairs'!$A$2:$A$652,A14,'Case Pairs'!$B$2:$B$652,B14)</x:f>
        <x:v>49</x:v>
      </x:c>
      <x:c r="D14" s="42" t="n">
        <x:f>AVERAGEIFS('Case Pairs'!$I$2:$I$652,'Case Pairs'!$A$2:$A$652,A14,'Case Pairs'!$B$2:$B$652,B14)</x:f>
        <x:v>0.006802721088435375</x:v>
      </x:c>
      <x:c r="E14" s="42" t="n">
        <x:v>0</x:v>
      </x:c>
      <x:c r="F14" s="42" t="n">
        <x:v>0.020408163265306124</x:v>
      </x:c>
      <x:c r="G14" s="41" t="n">
        <x:f>COUNTIFS('Case Pairs'!$A$2:$A$652,A14,'Case Pairs'!$B$2:$B$652,B14,'Case Pairs'!$J$2:$J$652,"improved")</x:f>
        <x:v>1</x:v>
      </x:c>
      <x:c r="H14" s="41" t="n">
        <x:f>COUNTIFS('Case Pairs'!$A$2:$A$652,A14,'Case Pairs'!$B$2:$B$652,B14,'Case Pairs'!$J$2:$J$652,"unchanged")</x:f>
        <x:v>48</x:v>
      </x:c>
      <x:c r="I14" s="41" t="n">
        <x:f>COUNTIFS('Case Pairs'!$A$2:$A$652,A14,'Case Pairs'!$B$2:$B$652,B14,'Case Pairs'!$J$2:$J$652,"regressed")</x:f>
        <x:v>0</x:v>
      </x:c>
      <x:c r="J14" s="43" t="str">
        <x:v>exploratory_post_hoc</x:v>
      </x:c>
    </x:row>
    <x:row r="15">
      <x:c r="A15" s="48" t="str">
        <x:v>a2_new_minus_old_on_new_a1</x:v>
      </x:c>
      <x:c r="B15" s="49" t="str">
        <x:v>span_aligned</x:v>
      </x:c>
      <x:c r="C15" s="41" t="n">
        <x:f>COUNTIFS('Case Pairs'!$A$2:$A$652,A15,'Case Pairs'!$B$2:$B$652,B15)</x:f>
        <x:v>49</x:v>
      </x:c>
      <x:c r="D15" s="42" t="n">
        <x:f>AVERAGEIFS('Case Pairs'!$I$2:$I$652,'Case Pairs'!$A$2:$A$652,A15,'Case Pairs'!$B$2:$B$652,B15)</x:f>
        <x:v>-0.01360544217687075</x:v>
      </x:c>
      <x:c r="E15" s="42" t="n">
        <x:v>-0.061224489795918366</x:v>
      </x:c>
      <x:c r="F15" s="42" t="n">
        <x:v>0.02040816326530612</x:v>
      </x:c>
      <x:c r="G15" s="41" t="n">
        <x:f>COUNTIFS('Case Pairs'!$A$2:$A$652,A15,'Case Pairs'!$B$2:$B$652,B15,'Case Pairs'!$J$2:$J$652,"improved")</x:f>
        <x:v>1</x:v>
      </x:c>
      <x:c r="H15" s="41" t="n">
        <x:f>COUNTIFS('Case Pairs'!$A$2:$A$652,A15,'Case Pairs'!$B$2:$B$652,B15,'Case Pairs'!$J$2:$J$652,"unchanged")</x:f>
        <x:v>47</x:v>
      </x:c>
      <x:c r="I15" s="41" t="n">
        <x:f>COUNTIFS('Case Pairs'!$A$2:$A$652,A15,'Case Pairs'!$B$2:$B$652,B15,'Case Pairs'!$J$2:$J$652,"regressed")</x:f>
        <x:v>1</x:v>
      </x:c>
      <x:c r="J15" s="43" t="str">
        <x:v>exploratory_post_hoc</x:v>
      </x:c>
    </x:row>
    <x:row r="16">
      <x:c r="A16" s="48" t="str">
        <x:v>a2_new_minus_old_on_new_a1</x:v>
      </x:c>
      <x:c r="B16" s="49" t="str">
        <x:v>rewrite_faithful</x:v>
      </x:c>
      <x:c r="C16" s="41" t="n">
        <x:f>COUNTIFS('Case Pairs'!$A$2:$A$652,A16,'Case Pairs'!$B$2:$B$652,B16)</x:f>
        <x:v>49</x:v>
      </x:c>
      <x:c r="D16" s="42" t="n">
        <x:f>AVERAGEIFS('Case Pairs'!$I$2:$I$652,'Case Pairs'!$A$2:$A$652,A16,'Case Pairs'!$B$2:$B$652,B16)</x:f>
        <x:v>-0.034013605442176874</x:v>
      </x:c>
      <x:c r="E16" s="42" t="n">
        <x:v>-0.10204081632653061</x:v>
      </x:c>
      <x:c r="F16" s="42" t="n">
        <x:v>0.013605442176870748</x:v>
      </x:c>
      <x:c r="G16" s="41" t="n">
        <x:f>COUNTIFS('Case Pairs'!$A$2:$A$652,A16,'Case Pairs'!$B$2:$B$652,B16,'Case Pairs'!$J$2:$J$652,"improved")</x:f>
        <x:v>1</x:v>
      </x:c>
      <x:c r="H16" s="41" t="n">
        <x:f>COUNTIFS('Case Pairs'!$A$2:$A$652,A16,'Case Pairs'!$B$2:$B$652,B16,'Case Pairs'!$J$2:$J$652,"unchanged")</x:f>
        <x:v>46</x:v>
      </x:c>
      <x:c r="I16" s="41" t="n">
        <x:f>COUNTIFS('Case Pairs'!$A$2:$A$652,A16,'Case Pairs'!$B$2:$B$652,B16,'Case Pairs'!$J$2:$J$652,"regressed")</x:f>
        <x:v>2</x:v>
      </x:c>
      <x:c r="J16" s="43" t="str">
        <x:v>exploratory_post_hoc</x:v>
      </x:c>
    </x:row>
    <x:row r="17">
      <x:c r="A17" s="48" t="str">
        <x:v>a2_coverage_new_minus_old_on_old_a1</x:v>
      </x:c>
      <x:c r="B17" s="49" t="str">
        <x:v>fact_coverage_ordinal</x:v>
      </x:c>
      <x:c r="C17" s="41" t="n">
        <x:f>COUNTIFS('Case Pairs'!$A$2:$A$652,A17,'Case Pairs'!$B$2:$B$652,B17)</x:f>
        <x:v>45</x:v>
      </x:c>
      <x:c r="D17" s="42" t="n">
        <x:f>AVERAGEIFS('Case Pairs'!$I$2:$I$652,'Case Pairs'!$A$2:$A$652,A17,'Case Pairs'!$B$2:$B$652,B17)</x:f>
        <x:v>0.03333333333333333</x:v>
      </x:c>
      <x:c r="E17" s="42" t="n">
        <x:v>0</x:v>
      </x:c>
      <x:c r="F17" s="42" t="n">
        <x:v>0.07777777777777778</x:v>
      </x:c>
      <x:c r="G17" s="41" t="n">
        <x:f>COUNTIFS('Case Pairs'!$A$2:$A$652,A17,'Case Pairs'!$B$2:$B$652,B17,'Case Pairs'!$J$2:$J$652,"improved")</x:f>
        <x:v>3</x:v>
      </x:c>
      <x:c r="H17" s="41" t="n">
        <x:f>COUNTIFS('Case Pairs'!$A$2:$A$652,A17,'Case Pairs'!$B$2:$B$652,B17,'Case Pairs'!$J$2:$J$652,"unchanged")</x:f>
        <x:v>42</x:v>
      </x:c>
      <x:c r="I17" s="41" t="n">
        <x:f>COUNTIFS('Case Pairs'!$A$2:$A$652,A17,'Case Pairs'!$B$2:$B$652,B17,'Case Pairs'!$J$2:$J$652,"regressed")</x:f>
        <x:v>0</x:v>
      </x:c>
      <x:c r="J17" s="43" t="str">
        <x:v>exploratory_post_hoc</x:v>
      </x:c>
    </x:row>
    <x:row r="18">
      <x:c r="A18" s="50" t="str">
        <x:v>a2_coverage_new_minus_old_on_new_a1</x:v>
      </x:c>
      <x:c r="B18" s="51" t="str">
        <x:v>fact_coverage_ordinal</x:v>
      </x:c>
      <x:c r="C18" s="45" t="n">
        <x:f>COUNTIFS('Case Pairs'!$A$2:$A$652,A18,'Case Pairs'!$B$2:$B$652,B18)</x:f>
        <x:v>48</x:v>
      </x:c>
      <x:c r="D18" s="46" t="n">
        <x:f>AVERAGEIFS('Case Pairs'!$I$2:$I$652,'Case Pairs'!$A$2:$A$652,A18,'Case Pairs'!$B$2:$B$652,B18)</x:f>
        <x:v>0.010416666666666666</x:v>
      </x:c>
      <x:c r="E18" s="46" t="n">
        <x:v>0</x:v>
      </x:c>
      <x:c r="F18" s="46" t="n">
        <x:v>0.03125</x:v>
      </x:c>
      <x:c r="G18" s="45" t="n">
        <x:f>COUNTIFS('Case Pairs'!$A$2:$A$652,A18,'Case Pairs'!$B$2:$B$652,B18,'Case Pairs'!$J$2:$J$652,"improved")</x:f>
        <x:v>1</x:v>
      </x:c>
      <x:c r="H18" s="45" t="n">
        <x:f>COUNTIFS('Case Pairs'!$A$2:$A$652,A18,'Case Pairs'!$B$2:$B$652,B18,'Case Pairs'!$J$2:$J$652,"unchanged")</x:f>
        <x:v>47</x:v>
      </x:c>
      <x:c r="I18" s="45" t="n">
        <x:f>COUNTIFS('Case Pairs'!$A$2:$A$652,A18,'Case Pairs'!$B$2:$B$652,B18,'Case Pairs'!$J$2:$J$652,"regressed")</x:f>
        <x:v>0</x:v>
      </x:c>
      <x:c r="J18" s="47" t="str">
        <x:v>exploratory_post_hoc</x:v>
      </x:c>
    </x:row>
  </x:sheetData>
  <x:mergeCells>
    <x:mergeCell ref="A1:J1"/>
    <x:mergeCell ref="A2:J2"/>
  </x:mergeCells>
  <x:conditionalFormatting sqref="D5:D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2" hidden="0" customWidth="1"/>
    <x:col min="4" max="4" width="54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1" t="str">
        <x:v>comparison</x:v>
      </x:c>
      <x:c r="B1" s="32" t="str">
        <x:v>metric</x:v>
      </x:c>
      <x:c r="C1" s="35" t="str">
        <x:v>query_id</x:v>
      </x:c>
      <x:c r="D1" s="32" t="str">
        <x:v>question</x:v>
      </x:c>
      <x:c r="E1" s="32" t="str">
        <x:v>baseline_arm</x:v>
      </x:c>
      <x:c r="F1" s="32" t="str">
        <x:v>treatment_arm</x:v>
      </x:c>
      <x:c r="G1" s="32" t="str">
        <x:v>baseline_rate</x:v>
      </x:c>
      <x:c r="H1" s="32" t="str">
        <x:v>treatment_rate</x:v>
      </x:c>
      <x:c r="I1" s="32" t="str">
        <x:v>delta</x:v>
      </x:c>
      <x:c r="J1" s="32" t="str">
        <x:v>direction</x:v>
      </x:c>
      <x:c r="K1" s="32" t="str">
        <x:v>baseline_positive</x:v>
      </x:c>
      <x:c r="L1" s="32" t="str">
        <x:v>baseline_denominator</x:v>
      </x:c>
      <x:c r="M1" s="32" t="str">
        <x:v>treatment_positive</x:v>
      </x:c>
      <x:c r="N1" s="33" t="str">
        <x:v>treatment_denominator</x:v>
      </x:c>
    </x:row>
    <x:row r="2">
      <x:c r="A2" t="str">
        <x:v>a1_new_minus_old</x:v>
      </x:c>
      <x:c r="B2" t="str">
        <x:v>atomic</x:v>
      </x:c>
      <x:c r="C2" t="str">
        <x:f>"qid:-1062522255440685408"</x:f>
        <x:v>qid:-1062522255440685408</x:v>
      </x:c>
      <x:c r="D2" s="14" t="str">
        <x:v>When did the first generation kindle fire come out?</x:v>
      </x:c>
      <x:c r="E2" t="str">
        <x:v>old</x:v>
      </x:c>
      <x:c r="F2" t="str">
        <x:v>new</x:v>
      </x:c>
      <x:c r="G2" s="34" t="n">
        <x:v>1</x:v>
      </x:c>
      <x:c r="H2" s="34" t="n">
        <x:v>1</x:v>
      </x:c>
      <x:c r="I2" s="34" t="n">
        <x:v>0</x:v>
      </x:c>
      <x:c r="J2" t="str">
        <x:v>unchanged</x:v>
      </x:c>
      <x:c r="K2" t="n">
        <x:v>1</x:v>
      </x:c>
      <x:c r="L2" t="n">
        <x:v>1</x:v>
      </x:c>
      <x:c r="M2" t="n">
        <x:v>1</x:v>
      </x:c>
      <x:c r="N2" t="n">
        <x:v>1</x:v>
      </x:c>
    </x:row>
    <x:row r="3">
      <x:c r="A3" t="str">
        <x:v>a1_new_minus_old</x:v>
      </x:c>
      <x:c r="B3" t="str">
        <x:v>atomic</x:v>
      </x:c>
      <x:c r="C3" t="str">
        <x:f>"qid:-2585133819352441604"</x:f>
        <x:v>qid:-2585133819352441604</x:v>
      </x:c>
      <x:c r="D3" s="14" t="str">
        <x:v>Name of first episode of this is us?</x:v>
      </x:c>
      <x:c r="E3" t="str">
        <x:v>old</x:v>
      </x:c>
      <x:c r="F3" t="str">
        <x:v>new</x:v>
      </x:c>
      <x:c r="G3" s="34" t="n">
        <x:v>1</x:v>
      </x:c>
      <x:c r="H3" s="34" t="n">
        <x:v>1</x:v>
      </x:c>
      <x:c r="I3" s="34" t="n">
        <x:v>0</x:v>
      </x:c>
      <x:c r="J3" t="str">
        <x:v>unchanged</x:v>
      </x:c>
      <x:c r="K3" t="n">
        <x:v>1</x:v>
      </x:c>
      <x:c r="L3" t="n">
        <x:v>1</x:v>
      </x:c>
      <x:c r="M3" t="n">
        <x:v>1</x:v>
      </x:c>
      <x:c r="N3" t="n">
        <x:v>1</x:v>
      </x:c>
    </x:row>
    <x:row r="4">
      <x:c r="A4" t="str">
        <x:v>a1_new_minus_old</x:v>
      </x:c>
      <x:c r="B4" t="str">
        <x:v>atomic</x:v>
      </x:c>
      <x:c r="C4" t="str">
        <x:f>"qid:-3228483207040151533"</x:f>
        <x:v>qid:-3228483207040151533</x:v>
      </x:c>
      <x:c r="D4" s="14" t="str">
        <x:v>What bodies of water surround cabo san lucas?</x:v>
      </x:c>
      <x:c r="E4" t="str">
        <x:v>old</x:v>
      </x:c>
      <x:c r="F4" t="str">
        <x:v>new</x:v>
      </x:c>
      <x:c r="G4" s="34" t="n">
        <x:v>1</x:v>
      </x:c>
      <x:c r="H4" s="34" t="n">
        <x:v>1</x:v>
      </x:c>
      <x:c r="I4" s="34" t="n">
        <x:v>0</x:v>
      </x:c>
      <x:c r="J4" t="str">
        <x:v>unchanged</x:v>
      </x:c>
      <x:c r="K4" t="n">
        <x:v>1</x:v>
      </x:c>
      <x:c r="L4" t="n">
        <x:v>1</x:v>
      </x:c>
      <x:c r="M4" t="n">
        <x:v>1</x:v>
      </x:c>
      <x:c r="N4" t="n">
        <x:v>1</x:v>
      </x:c>
    </x:row>
    <x:row r="5">
      <x:c r="A5" t="str">
        <x:v>a1_new_minus_old</x:v>
      </x:c>
      <x:c r="B5" t="str">
        <x:v>atomic</x:v>
      </x:c>
      <x:c r="C5" t="str">
        <x:f>"qid:-3279585462082900736"</x:f>
        <x:v>qid:-3279585462082900736</x:v>
      </x:c>
      <x:c r="D5" s="14" t="str">
        <x:v>Who gets fired on grey's anatomy season 6?</x:v>
      </x:c>
      <x:c r="E5" t="str">
        <x:v>old</x:v>
      </x:c>
      <x:c r="F5" t="str">
        <x:v>new</x:v>
      </x:c>
      <x:c r="G5" s="34" t="n">
        <x:v>1</x:v>
      </x:c>
      <x:c r="H5" s="34" t="n">
        <x:v>1</x:v>
      </x:c>
      <x:c r="I5" s="34" t="n">
        <x:v>0</x:v>
      </x:c>
      <x:c r="J5" t="str">
        <x:v>unchanged</x:v>
      </x:c>
      <x:c r="K5" t="n">
        <x:v>1</x:v>
      </x:c>
      <x:c r="L5" t="n">
        <x:v>1</x:v>
      </x:c>
      <x:c r="M5" t="n">
        <x:v>1</x:v>
      </x:c>
      <x:c r="N5" t="n">
        <x:v>1</x:v>
      </x:c>
    </x:row>
    <x:row r="6">
      <x:c r="A6" t="str">
        <x:v>a1_new_minus_old</x:v>
      </x:c>
      <x:c r="B6" t="str">
        <x:v>atomic</x:v>
      </x:c>
      <x:c r="C6" t="str">
        <x:f>"qid:-3344541168958463110"</x:f>
        <x:v>qid:-3344541168958463110</x:v>
      </x:c>
      <x:c r="D6" s="14" t="str">
        <x:v>Who fought with an angel in the bible?</x:v>
      </x:c>
      <x:c r="E6" t="str">
        <x:v>old</x:v>
      </x:c>
      <x:c r="F6" t="str">
        <x:v>new</x:v>
      </x:c>
      <x:c r="G6" s="34" t="n">
        <x:v>1</x:v>
      </x:c>
      <x:c r="H6" s="34" t="n">
        <x:v>1</x:v>
      </x:c>
      <x:c r="I6" s="34" t="n">
        <x:v>0</x:v>
      </x:c>
      <x:c r="J6" t="str">
        <x:v>unchanged</x:v>
      </x:c>
      <x:c r="K6" t="n">
        <x:v>1</x:v>
      </x:c>
      <x:c r="L6" t="n">
        <x:v>1</x:v>
      </x:c>
      <x:c r="M6" t="n">
        <x:v>1</x:v>
      </x:c>
      <x:c r="N6" t="n">
        <x:v>1</x:v>
      </x:c>
    </x:row>
    <x:row r="7">
      <x:c r="A7" t="str">
        <x:v>a1_new_minus_old</x:v>
      </x:c>
      <x:c r="B7" t="str">
        <x:v>atomic</x:v>
      </x:c>
      <x:c r="C7" t="str">
        <x:f>"qid:-4286108617234818000"</x:f>
        <x:v>qid:-4286108617234818000</x:v>
      </x:c>
      <x:c r="D7" s="14" t="str">
        <x:v>When does the new super troopers movie come out?</x:v>
      </x:c>
      <x:c r="E7" t="str">
        <x:v>old</x:v>
      </x:c>
      <x:c r="F7" t="str">
        <x:v>new</x:v>
      </x:c>
      <x:c r="G7" s="34" t="n">
        <x:v>1</x:v>
      </x:c>
      <x:c r="H7" s="34" t="n">
        <x:v>1</x:v>
      </x:c>
      <x:c r="I7" s="34" t="n">
        <x:v>0</x:v>
      </x:c>
      <x:c r="J7" t="str">
        <x:v>unchanged</x:v>
      </x:c>
      <x:c r="K7" t="n">
        <x:v>1</x:v>
      </x:c>
      <x:c r="L7" t="n">
        <x:v>1</x:v>
      </x:c>
      <x:c r="M7" t="n">
        <x:v>1</x:v>
      </x:c>
      <x:c r="N7" t="n">
        <x:v>1</x:v>
      </x:c>
    </x:row>
    <x:row r="8">
      <x:c r="A8" t="str">
        <x:v>a1_new_minus_old</x:v>
      </x:c>
      <x:c r="B8" t="str">
        <x:v>atomic</x:v>
      </x:c>
      <x:c r="C8" t="str">
        <x:f>"qid:-4456614433280196572"</x:f>
        <x:v>qid:-4456614433280196572</x:v>
      </x:c>
      <x:c r="D8" s="14" t="str">
        <x:v>What season does meredith and derek get married in grey's anatomy?</x:v>
      </x:c>
      <x:c r="E8" t="str">
        <x:v>old</x:v>
      </x:c>
      <x:c r="F8" t="str">
        <x:v>new</x:v>
      </x:c>
      <x:c r="G8" s="34" t="n">
        <x:v>1</x:v>
      </x:c>
      <x:c r="H8" s="34" t="n">
        <x:v>1</x:v>
      </x:c>
      <x:c r="I8" s="34" t="n">
        <x:v>0</x:v>
      </x:c>
      <x:c r="J8" t="str">
        <x:v>unchanged</x:v>
      </x:c>
      <x:c r="K8" t="n">
        <x:v>1</x:v>
      </x:c>
      <x:c r="L8" t="n">
        <x:v>1</x:v>
      </x:c>
      <x:c r="M8" t="n">
        <x:v>1</x:v>
      </x:c>
      <x:c r="N8" t="n">
        <x:v>1</x:v>
      </x:c>
    </x:row>
    <x:row r="9">
      <x:c r="A9" t="str">
        <x:v>a1_new_minus_old</x:v>
      </x:c>
      <x:c r="B9" t="str">
        <x:v>atomic</x:v>
      </x:c>
      <x:c r="C9" t="str">
        <x:f>"qid:-447198893588059167"</x:f>
        <x:v>qid:-447198893588059167</x:v>
      </x:c>
      <x:c r="D9" s="14" t="str">
        <x:v>Who played the father in leave it to beaver?</x:v>
      </x:c>
      <x:c r="E9" t="str">
        <x:v>old</x:v>
      </x:c>
      <x:c r="F9" t="str">
        <x:v>new</x:v>
      </x:c>
      <x:c r="G9" s="34" t="n">
        <x:v>1</x:v>
      </x:c>
      <x:c r="H9" s="34" t="n">
        <x:v>1</x:v>
      </x:c>
      <x:c r="I9" s="34" t="n">
        <x:v>0</x:v>
      </x:c>
      <x:c r="J9" t="str">
        <x:v>unchanged</x:v>
      </x:c>
      <x:c r="K9" t="n">
        <x:v>1</x:v>
      </x:c>
      <x:c r="L9" t="n">
        <x:v>1</x:v>
      </x:c>
      <x:c r="M9" t="n">
        <x:v>1</x:v>
      </x:c>
      <x:c r="N9" t="n">
        <x:v>1</x:v>
      </x:c>
    </x:row>
    <x:row r="10">
      <x:c r="A10" t="str">
        <x:v>a1_new_minus_old</x:v>
      </x:c>
      <x:c r="B10" t="str">
        <x:v>atomic</x:v>
      </x:c>
      <x:c r="C10" t="str">
        <x:f>"qid:-4649654703638364295"</x:f>
        <x:v>qid:-4649654703638364295</x:v>
      </x:c>
      <x:c r="D10" s="14" t="str">
        <x:v>Who made it through the divisional finals world of dance?</x:v>
      </x:c>
      <x:c r="E10" t="str">
        <x:v>old</x:v>
      </x:c>
      <x:c r="F10" t="str">
        <x:v>new</x:v>
      </x:c>
      <x:c r="G10" s="34" t="n">
        <x:v>1</x:v>
      </x:c>
      <x:c r="H10" s="34" t="n">
        <x:v>1</x:v>
      </x:c>
      <x:c r="I10" s="34" t="n">
        <x:v>0</x:v>
      </x:c>
      <x:c r="J10" t="str">
        <x:v>unchanged</x:v>
      </x:c>
      <x:c r="K10" t="n">
        <x:v>1</x:v>
      </x:c>
      <x:c r="L10" t="n">
        <x:v>1</x:v>
      </x:c>
      <x:c r="M10" t="n">
        <x:v>1</x:v>
      </x:c>
      <x:c r="N10" t="n">
        <x:v>1</x:v>
      </x:c>
    </x:row>
    <x:row r="11">
      <x:c r="A11" t="str">
        <x:v>a1_new_minus_old</x:v>
      </x:c>
      <x:c r="B11" t="str">
        <x:v>atomic</x:v>
      </x:c>
      <x:c r="C11" t="str">
        <x:f>"qid:-4873786835306543030"</x:f>
        <x:v>qid:-4873786835306543030</x:v>
      </x:c>
      <x:c r="D11" s="14" t="str">
        <x:v>Who is the chief minister of m. p?</x:v>
      </x:c>
      <x:c r="E11" t="str">
        <x:v>old</x:v>
      </x:c>
      <x:c r="F11" t="str">
        <x:v>new</x:v>
      </x:c>
      <x:c r="G11" s="34" t="n">
        <x:v>1</x:v>
      </x:c>
      <x:c r="H11" s="34" t="n">
        <x:v>1</x:v>
      </x:c>
      <x:c r="I11" s="34" t="n">
        <x:v>0</x:v>
      </x:c>
      <x:c r="J11" t="str">
        <x:v>unchanged</x:v>
      </x:c>
      <x:c r="K11" t="n">
        <x:v>1</x:v>
      </x:c>
      <x:c r="L11" t="n">
        <x:v>1</x:v>
      </x:c>
      <x:c r="M11" t="n">
        <x:v>1</x:v>
      </x:c>
      <x:c r="N11" t="n">
        <x:v>1</x:v>
      </x:c>
    </x:row>
    <x:row r="12">
      <x:c r="A12" t="str">
        <x:v>a1_new_minus_old</x:v>
      </x:c>
      <x:c r="B12" t="str">
        <x:v>atomic</x:v>
      </x:c>
      <x:c r="C12" t="str">
        <x:f>"qid:-4995398567532229571"</x:f>
        <x:v>qid:-4995398567532229571</x:v>
      </x:c>
      <x:c r="D12" s="14" t="str">
        <x:v>When did ragtime flourished in the united states?</x:v>
      </x:c>
      <x:c r="E12" t="str">
        <x:v>old</x:v>
      </x:c>
      <x:c r="F12" t="str">
        <x:v>new</x:v>
      </x:c>
      <x:c r="G12" s="34" t="n">
        <x:v>1</x:v>
      </x:c>
      <x:c r="H12" s="34" t="n">
        <x:v>1</x:v>
      </x:c>
      <x:c r="I12" s="34" t="n">
        <x:v>0</x:v>
      </x:c>
      <x:c r="J12" t="str">
        <x:v>unchanged</x:v>
      </x:c>
      <x:c r="K12" t="n">
        <x:v>2</x:v>
      </x:c>
      <x:c r="L12" t="n">
        <x:v>2</x:v>
      </x:c>
      <x:c r="M12" t="n">
        <x:v>1</x:v>
      </x:c>
      <x:c r="N12" t="n">
        <x:v>1</x:v>
      </x:c>
    </x:row>
    <x:row r="13">
      <x:c r="A13" t="str">
        <x:v>a1_new_minus_old</x:v>
      </x:c>
      <x:c r="B13" t="str">
        <x:v>atomic</x:v>
      </x:c>
      <x:c r="C13" t="str">
        <x:f>"qid:-5036947181661390825"</x:f>
        <x:v>qid:-5036947181661390825</x:v>
      </x:c>
      <x:c r="D13" s="14" t="str">
        <x:v>When was the vietnam veterans war memorial built?</x:v>
      </x:c>
      <x:c r="E13" t="str">
        <x:v>old</x:v>
      </x:c>
      <x:c r="F13" t="str">
        <x:v>new</x:v>
      </x:c>
      <x:c r="G13" s="34" t="n">
        <x:v>1</x:v>
      </x:c>
      <x:c r="H13" s="34" t="n">
        <x:v>1</x:v>
      </x:c>
      <x:c r="I13" s="34" t="n">
        <x:v>0</x:v>
      </x:c>
      <x:c r="J13" t="str">
        <x:v>unchanged</x:v>
      </x:c>
      <x:c r="K13" t="n">
        <x:v>1</x:v>
      </x:c>
      <x:c r="L13" t="n">
        <x:v>1</x:v>
      </x:c>
      <x:c r="M13" t="n">
        <x:v>1</x:v>
      </x:c>
      <x:c r="N13" t="n">
        <x:v>1</x:v>
      </x:c>
    </x:row>
    <x:row r="14">
      <x:c r="A14" t="str">
        <x:v>a1_new_minus_old</x:v>
      </x:c>
      <x:c r="B14" t="str">
        <x:v>atomic</x:v>
      </x:c>
      <x:c r="C14" t="str">
        <x:f>"qid:-5116644172939113883"</x:f>
        <x:v>qid:-5116644172939113883</x:v>
      </x:c>
      <x:c r="D14" s="14" t="str">
        <x:v>Who raps in the gorillaz song clint eastwood?</x:v>
      </x:c>
      <x:c r="E14" t="str">
        <x:v>old</x:v>
      </x:c>
      <x:c r="F14" t="str">
        <x:v>new</x:v>
      </x:c>
      <x:c r="G14" s="34" t="n">
        <x:v>1</x:v>
      </x:c>
      <x:c r="H14" s="34" t="n">
        <x:v>1</x:v>
      </x:c>
      <x:c r="I14" s="34" t="n">
        <x:v>0</x:v>
      </x:c>
      <x:c r="J14" t="str">
        <x:v>unchanged</x:v>
      </x:c>
      <x:c r="K14" t="n">
        <x:v>1</x:v>
      </x:c>
      <x:c r="L14" t="n">
        <x:v>1</x:v>
      </x:c>
      <x:c r="M14" t="n">
        <x:v>1</x:v>
      </x:c>
      <x:c r="N14" t="n">
        <x:v>1</x:v>
      </x:c>
    </x:row>
    <x:row r="15">
      <x:c r="A15" t="str">
        <x:v>a1_new_minus_old</x:v>
      </x:c>
      <x:c r="B15" t="str">
        <x:v>atomic</x:v>
      </x:c>
      <x:c r="C15" t="str">
        <x:f>"qid:-5333049627570569397"</x:f>
        <x:v>qid:-5333049627570569397</x:v>
      </x:c>
      <x:c r="D15" s="14" t="str">
        <x:v>When did the song can't touch this come out?</x:v>
      </x:c>
      <x:c r="E15" t="str">
        <x:v>old</x:v>
      </x:c>
      <x:c r="F15" t="str">
        <x:v>new</x:v>
      </x:c>
      <x:c r="G15" s="34" t="n">
        <x:v>1</x:v>
      </x:c>
      <x:c r="H15" s="34" t="n">
        <x:v>1</x:v>
      </x:c>
      <x:c r="I15" s="34" t="n">
        <x:v>0</x:v>
      </x:c>
      <x:c r="J15" t="str">
        <x:v>unchanged</x:v>
      </x:c>
      <x:c r="K15" t="n">
        <x:v>1</x:v>
      </x:c>
      <x:c r="L15" t="n">
        <x:v>1</x:v>
      </x:c>
      <x:c r="M15" t="n">
        <x:v>1</x:v>
      </x:c>
      <x:c r="N15" t="n">
        <x:v>1</x:v>
      </x:c>
    </x:row>
    <x:row r="16">
      <x:c r="A16" t="str">
        <x:v>a1_new_minus_old</x:v>
      </x:c>
      <x:c r="B16" t="str">
        <x:v>atomic</x:v>
      </x:c>
      <x:c r="C16" t="str">
        <x:f>"qid:-5564120845047915486"</x:f>
        <x:v>qid:-5564120845047915486</x:v>
      </x:c>
      <x:c r="D16" s="14" t="str">
        <x:v>Where do you find a simple gear train?</x:v>
      </x:c>
      <x:c r="E16" t="str">
        <x:v>old</x:v>
      </x:c>
      <x:c r="F16" t="str">
        <x:v>new</x:v>
      </x:c>
      <x:c r="G16" s="34" t="n">
        <x:v>1</x:v>
      </x:c>
      <x:c r="H16" s="34" t="n">
        <x:v>1</x:v>
      </x:c>
      <x:c r="I16" s="34" t="n">
        <x:v>0</x:v>
      </x:c>
      <x:c r="J16" t="str">
        <x:v>unchanged</x:v>
      </x:c>
      <x:c r="K16" t="n">
        <x:v>2</x:v>
      </x:c>
      <x:c r="L16" t="n">
        <x:v>2</x:v>
      </x:c>
      <x:c r="M16" t="n">
        <x:v>1</x:v>
      </x:c>
      <x:c r="N16" t="n">
        <x:v>1</x:v>
      </x:c>
    </x:row>
    <x:row r="17">
      <x:c r="A17" t="str">
        <x:v>a1_new_minus_old</x:v>
      </x:c>
      <x:c r="B17" t="str">
        <x:v>atomic</x:v>
      </x:c>
      <x:c r="C17" t="str">
        <x:f>"qid:-5842265707961388968"</x:f>
        <x:v>qid:-5842265707961388968</x:v>
      </x:c>
      <x:c r="D17" s="14" t="str">
        <x:v>Who beat villanova last year in the ncaa tournament?</x:v>
      </x:c>
      <x:c r="E17" t="str">
        <x:v>old</x:v>
      </x:c>
      <x:c r="F17" t="str">
        <x:v>new</x:v>
      </x:c>
      <x:c r="G17" s="34" t="n">
        <x:v>0.6666666666666666</x:v>
      </x:c>
      <x:c r="H17" s="34" t="n">
        <x:v>1</x:v>
      </x:c>
      <x:c r="I17" s="34" t="n">
        <x:v>0.33333333333333337</x:v>
      </x:c>
      <x:c r="J17" t="str">
        <x:v>improved</x:v>
      </x:c>
      <x:c r="K17" t="n">
        <x:v>2</x:v>
      </x:c>
      <x:c r="L17" t="n">
        <x:v>3</x:v>
      </x:c>
      <x:c r="M17" t="n">
        <x:v>1</x:v>
      </x:c>
      <x:c r="N17" t="n">
        <x:v>1</x:v>
      </x:c>
    </x:row>
    <x:row r="18">
      <x:c r="A18" t="str">
        <x:v>a1_new_minus_old</x:v>
      </x:c>
      <x:c r="B18" t="str">
        <x:v>atomic</x:v>
      </x:c>
      <x:c r="C18" t="str">
        <x:f>"qid:-5942352520455511076"</x:f>
        <x:v>qid:-5942352520455511076</x:v>
      </x:c>
      <x:c r="D18" s="14" t="str">
        <x:v>Where can adipose tissue be found in the body?</x:v>
      </x:c>
      <x:c r="E18" t="str">
        <x:v>old</x:v>
      </x:c>
      <x:c r="F18" t="str">
        <x:v>new</x:v>
      </x:c>
      <x:c r="G18" s="34" t="n">
        <x:v>1</x:v>
      </x:c>
      <x:c r="H18" s="34" t="n">
        <x:v>1</x:v>
      </x:c>
      <x:c r="I18" s="34" t="n">
        <x:v>0</x:v>
      </x:c>
      <x:c r="J18" t="str">
        <x:v>unchanged</x:v>
      </x:c>
      <x:c r="K18" t="n">
        <x:v>2</x:v>
      </x:c>
      <x:c r="L18" t="n">
        <x:v>2</x:v>
      </x:c>
      <x:c r="M18" t="n">
        <x:v>1</x:v>
      </x:c>
      <x:c r="N18" t="n">
        <x:v>1</x:v>
      </x:c>
    </x:row>
    <x:row r="19">
      <x:c r="A19" t="str">
        <x:v>a1_new_minus_old</x:v>
      </x:c>
      <x:c r="B19" t="str">
        <x:v>atomic</x:v>
      </x:c>
      <x:c r="C19" t="str">
        <x:f>"qid:-62521546794442829"</x:f>
        <x:v>qid:-62521546794442829</x:v>
      </x:c>
      <x:c r="D19" s="14" t="str">
        <x:v>For whom was the battle of king's mountain a victory?</x:v>
      </x:c>
      <x:c r="E19" t="str">
        <x:v>old</x:v>
      </x:c>
      <x:c r="F19" t="str">
        <x:v>new</x:v>
      </x:c>
      <x:c r="G19" s="34" t="n">
        <x:v>1</x:v>
      </x:c>
      <x:c r="H19" s="34" t="n">
        <x:v>1</x:v>
      </x:c>
      <x:c r="I19" s="34" t="n">
        <x:v>0</x:v>
      </x:c>
      <x:c r="J19" t="str">
        <x:v>unchanged</x:v>
      </x:c>
      <x:c r="K19" t="n">
        <x:v>1</x:v>
      </x:c>
      <x:c r="L19" t="n">
        <x:v>1</x:v>
      </x:c>
      <x:c r="M19" t="n">
        <x:v>1</x:v>
      </x:c>
      <x:c r="N19" t="n">
        <x:v>1</x:v>
      </x:c>
    </x:row>
    <x:row r="20">
      <x:c r="A20" t="str">
        <x:v>a1_new_minus_old</x:v>
      </x:c>
      <x:c r="B20" t="str">
        <x:v>atomic</x:v>
      </x:c>
      <x:c r="C20" t="str">
        <x:f>"qid:-6702031255040326279"</x:f>
        <x:v>qid:-6702031255040326279</x:v>
      </x:c>
      <x:c r="D20" s="14" t="str">
        <x:v>Which of the animal is a carrier of h1n1?</x:v>
      </x:c>
      <x:c r="E20" t="str">
        <x:v>old</x:v>
      </x:c>
      <x:c r="F20" t="str">
        <x:v>new</x:v>
      </x:c>
      <x:c r="G20" s="34" t="n">
        <x:v>1</x:v>
      </x:c>
      <x:c r="H20" s="34" t="n">
        <x:v>1</x:v>
      </x:c>
      <x:c r="I20" s="34" t="n">
        <x:v>0</x:v>
      </x:c>
      <x:c r="J20" t="str">
        <x:v>unchanged</x:v>
      </x:c>
      <x:c r="K20" t="n">
        <x:v>2</x:v>
      </x:c>
      <x:c r="L20" t="n">
        <x:v>2</x:v>
      </x:c>
      <x:c r="M20" t="n">
        <x:v>1</x:v>
      </x:c>
      <x:c r="N20" t="n">
        <x:v>1</x:v>
      </x:c>
    </x:row>
    <x:row r="21">
      <x:c r="A21" t="str">
        <x:v>a1_new_minus_old</x:v>
      </x:c>
      <x:c r="B21" t="str">
        <x:v>atomic</x:v>
      </x:c>
      <x:c r="C21" t="str">
        <x:f>"qid:-728189424752983312"</x:f>
        <x:v>qid:-728189424752983312</x:v>
      </x:c>
      <x:c r="D21" s="14" t="str">
        <x:v>Where did the term bye felicia come from?</x:v>
      </x:c>
      <x:c r="E21" t="str">
        <x:v>old</x:v>
      </x:c>
      <x:c r="F21" t="str">
        <x:v>new</x:v>
      </x:c>
      <x:c r="G21" s="34" t="n">
        <x:v>0.5</x:v>
      </x:c>
      <x:c r="H21" s="34" t="n">
        <x:v>1</x:v>
      </x:c>
      <x:c r="I21" s="34" t="n">
        <x:v>0.5</x:v>
      </x:c>
      <x:c r="J21" t="str">
        <x:v>improved</x:v>
      </x:c>
      <x:c r="K21" t="n">
        <x:v>1</x:v>
      </x:c>
      <x:c r="L21" t="n">
        <x:v>2</x:v>
      </x:c>
      <x:c r="M21" t="n">
        <x:v>1</x:v>
      </x:c>
      <x:c r="N21" t="n">
        <x:v>1</x:v>
      </x:c>
    </x:row>
    <x:row r="22">
      <x:c r="A22" t="str">
        <x:v>a1_new_minus_old</x:v>
      </x:c>
      <x:c r="B22" t="str">
        <x:v>atomic</x:v>
      </x:c>
      <x:c r="C22" t="str">
        <x:f>"qid:-7824075627194227170"</x:f>
        <x:v>qid:-7824075627194227170</x:v>
      </x:c>
      <x:c r="D22" s="14" t="str">
        <x:v>When was the commission fir sc/st established?</x:v>
      </x:c>
      <x:c r="E22" t="str">
        <x:v>old</x:v>
      </x:c>
      <x:c r="F22" t="str">
        <x:v>new</x:v>
      </x:c>
      <x:c r="G22" s="34" t="n">
        <x:v>1</x:v>
      </x:c>
      <x:c r="H22" s="34" t="n">
        <x:v>1</x:v>
      </x:c>
      <x:c r="I22" s="34" t="n">
        <x:v>0</x:v>
      </x:c>
      <x:c r="J22" t="str">
        <x:v>unchanged</x:v>
      </x:c>
      <x:c r="K22" t="n">
        <x:v>3</x:v>
      </x:c>
      <x:c r="L22" t="n">
        <x:v>3</x:v>
      </x:c>
      <x:c r="M22" t="n">
        <x:v>1</x:v>
      </x:c>
      <x:c r="N22" t="n">
        <x:v>1</x:v>
      </x:c>
    </x:row>
    <x:row r="23">
      <x:c r="A23" t="str">
        <x:v>a1_new_minus_old</x:v>
      </x:c>
      <x:c r="B23" t="str">
        <x:v>atomic</x:v>
      </x:c>
      <x:c r="C23" t="str">
        <x:f>"qid:-8286966211355378010"</x:f>
        <x:v>qid:-8286966211355378010</x:v>
      </x:c>
      <x:c r="D23" s="14" t="str">
        <x:v>What is the objective of tour de france?</x:v>
      </x:c>
      <x:c r="E23" t="str">
        <x:v>old</x:v>
      </x:c>
      <x:c r="F23" t="str">
        <x:v>new</x:v>
      </x:c>
      <x:c r="G23" s="34" t="n">
        <x:v>0</x:v>
      </x:c>
      <x:c r="H23" s="34" t="n">
        <x:v>1</x:v>
      </x:c>
      <x:c r="I23" s="34" t="n">
        <x:v>1</x:v>
      </x:c>
      <x:c r="J23" t="str">
        <x:v>improved</x:v>
      </x:c>
      <x:c r="K23" t="n">
        <x:v>0</x:v>
      </x:c>
      <x:c r="L23" t="n">
        <x:v>1</x:v>
      </x:c>
      <x:c r="M23" t="n">
        <x:v>1</x:v>
      </x:c>
      <x:c r="N23" t="n">
        <x:v>1</x:v>
      </x:c>
    </x:row>
    <x:row r="24">
      <x:c r="A24" t="str">
        <x:v>a1_new_minus_old</x:v>
      </x:c>
      <x:c r="B24" t="str">
        <x:v>atomic</x:v>
      </x:c>
      <x:c r="C24" t="str">
        <x:f>"qid:-99543908387769967"</x:f>
        <x:v>qid:-99543908387769967</x:v>
      </x:c>
      <x:c r="D24" s="14" t="str">
        <x:v>Who does sansa marry on game of thrones?</x:v>
      </x:c>
      <x:c r="E24" t="str">
        <x:v>old</x:v>
      </x:c>
      <x:c r="F24" t="str">
        <x:v>new</x:v>
      </x:c>
      <x:c r="G24" s="34" t="n">
        <x:v>0.6666666666666666</x:v>
      </x:c>
      <x:c r="H24" s="34" t="n">
        <x:v>1</x:v>
      </x:c>
      <x:c r="I24" s="34" t="n">
        <x:v>0.33333333333333337</x:v>
      </x:c>
      <x:c r="J24" t="str">
        <x:v>improved</x:v>
      </x:c>
      <x:c r="K24" t="n">
        <x:v>2</x:v>
      </x:c>
      <x:c r="L24" t="n">
        <x:v>3</x:v>
      </x:c>
      <x:c r="M24" t="n">
        <x:v>1</x:v>
      </x:c>
      <x:c r="N24" t="n">
        <x:v>1</x:v>
      </x:c>
    </x:row>
    <x:row r="25">
      <x:c r="A25" t="str">
        <x:v>a1_new_minus_old</x:v>
      </x:c>
      <x:c r="B25" t="str">
        <x:v>atomic</x:v>
      </x:c>
      <x:c r="C25" t="str">
        <x:f>"qid:16881061444712536"</x:f>
        <x:v>qid:16881061444712536</x:v>
      </x:c>
      <x:c r="D25" s="14" t="str">
        <x:v>Where does the amazon river start and finish?</x:v>
      </x:c>
      <x:c r="E25" t="str">
        <x:v>old</x:v>
      </x:c>
      <x:c r="F25" t="str">
        <x:v>new</x:v>
      </x:c>
      <x:c r="G25" s="34" t="n">
        <x:v>1</x:v>
      </x:c>
      <x:c r="H25" s="34" t="n">
        <x:v>1</x:v>
      </x:c>
      <x:c r="I25" s="34" t="n">
        <x:v>0</x:v>
      </x:c>
      <x:c r="J25" t="str">
        <x:v>unchanged</x:v>
      </x:c>
      <x:c r="K25" t="n">
        <x:v>2</x:v>
      </x:c>
      <x:c r="L25" t="n">
        <x:v>2</x:v>
      </x:c>
      <x:c r="M25" t="n">
        <x:v>2</x:v>
      </x:c>
      <x:c r="N25" t="n">
        <x:v>2</x:v>
      </x:c>
    </x:row>
    <x:row r="26">
      <x:c r="A26" t="str">
        <x:v>a1_new_minus_old</x:v>
      </x:c>
      <x:c r="B26" t="str">
        <x:v>atomic</x:v>
      </x:c>
      <x:c r="C26" t="str">
        <x:f>"qid:1763163294931046731"</x:f>
        <x:v>qid:1763163294931046731</x:v>
      </x:c>
      <x:c r="D26" s="14" t="str">
        <x:v>Who played violet rutherford on leave it to beaver?</x:v>
      </x:c>
      <x:c r="E26" t="str">
        <x:v>old</x:v>
      </x:c>
      <x:c r="F26" t="str">
        <x:v>new</x:v>
      </x:c>
      <x:c r="G26" s="34" t="n">
        <x:v>1</x:v>
      </x:c>
      <x:c r="H26" s="34" t="n">
        <x:v>1</x:v>
      </x:c>
      <x:c r="I26" s="34" t="n">
        <x:v>0</x:v>
      </x:c>
      <x:c r="J26" t="str">
        <x:v>unchanged</x:v>
      </x:c>
      <x:c r="K26" t="n">
        <x:v>1</x:v>
      </x:c>
      <x:c r="L26" t="n">
        <x:v>1</x:v>
      </x:c>
      <x:c r="M26" t="n">
        <x:v>1</x:v>
      </x:c>
      <x:c r="N26" t="n">
        <x:v>1</x:v>
      </x:c>
    </x:row>
    <x:row r="27">
      <x:c r="A27" t="str">
        <x:v>a1_new_minus_old</x:v>
      </x:c>
      <x:c r="B27" t="str">
        <x:v>atomic</x:v>
      </x:c>
      <x:c r="C27" t="str">
        <x:f>"qid:2221044921312683785"</x:f>
        <x:v>qid:2221044921312683785</x:v>
      </x:c>
      <x:c r="D27" s="14" t="str">
        <x:v>When did the apple tv 4k come out?</x:v>
      </x:c>
      <x:c r="E27" t="str">
        <x:v>old</x:v>
      </x:c>
      <x:c r="F27" t="str">
        <x:v>new</x:v>
      </x:c>
      <x:c r="G27" s="34" t="n">
        <x:v>1</x:v>
      </x:c>
      <x:c r="H27" s="34" t="n">
        <x:v>1</x:v>
      </x:c>
      <x:c r="I27" s="34" t="n">
        <x:v>0</x:v>
      </x:c>
      <x:c r="J27" t="str">
        <x:v>unchanged</x:v>
      </x:c>
      <x:c r="K27" t="n">
        <x:v>1</x:v>
      </x:c>
      <x:c r="L27" t="n">
        <x:v>1</x:v>
      </x:c>
      <x:c r="M27" t="n">
        <x:v>1</x:v>
      </x:c>
      <x:c r="N27" t="n">
        <x:v>1</x:v>
      </x:c>
    </x:row>
    <x:row r="28">
      <x:c r="A28" t="str">
        <x:v>a1_new_minus_old</x:v>
      </x:c>
      <x:c r="B28" t="str">
        <x:v>atomic</x:v>
      </x:c>
      <x:c r="C28" t="str">
        <x:f>"qid:2469112227919120438"</x:f>
        <x:v>qid:2469112227919120438</x:v>
      </x:c>
      <x:c r="D28" s="14" t="str">
        <x:v>The creation of the senate was based on the?</x:v>
      </x:c>
      <x:c r="E28" t="str">
        <x:v>old</x:v>
      </x:c>
      <x:c r="F28" t="str">
        <x:v>new</x:v>
      </x:c>
      <x:c r="G28" s="34" t="n">
        <x:v>0.5</x:v>
      </x:c>
      <x:c r="H28" s="34" t="n">
        <x:v>1</x:v>
      </x:c>
      <x:c r="I28" s="34" t="n">
        <x:v>0.5</x:v>
      </x:c>
      <x:c r="J28" t="str">
        <x:v>improved</x:v>
      </x:c>
      <x:c r="K28" t="n">
        <x:v>1</x:v>
      </x:c>
      <x:c r="L28" t="n">
        <x:v>2</x:v>
      </x:c>
      <x:c r="M28" t="n">
        <x:v>1</x:v>
      </x:c>
      <x:c r="N28" t="n">
        <x:v>1</x:v>
      </x:c>
    </x:row>
    <x:row r="29">
      <x:c r="A29" t="str">
        <x:v>a1_new_minus_old</x:v>
      </x:c>
      <x:c r="B29" t="str">
        <x:v>atomic</x:v>
      </x:c>
      <x:c r="C29" t="str">
        <x:f>"qid:3605104154738105404"</x:f>
        <x:v>qid:3605104154738105404</x:v>
      </x:c>
      <x:c r="D29" s="14" t="str">
        <x:v>What episode does jason gideon die in criminal minds?</x:v>
      </x:c>
      <x:c r="E29" t="str">
        <x:v>old</x:v>
      </x:c>
      <x:c r="F29" t="str">
        <x:v>new</x:v>
      </x:c>
      <x:c r="G29" s="34" t="n">
        <x:v>1</x:v>
      </x:c>
      <x:c r="H29" s="34" t="n">
        <x:v>1</x:v>
      </x:c>
      <x:c r="I29" s="34" t="n">
        <x:v>0</x:v>
      </x:c>
      <x:c r="J29" t="str">
        <x:v>unchanged</x:v>
      </x:c>
      <x:c r="K29" t="n">
        <x:v>1</x:v>
      </x:c>
      <x:c r="L29" t="n">
        <x:v>1</x:v>
      </x:c>
      <x:c r="M29" t="n">
        <x:v>1</x:v>
      </x:c>
      <x:c r="N29" t="n">
        <x:v>1</x:v>
      </x:c>
    </x:row>
    <x:row r="30">
      <x:c r="A30" t="str">
        <x:v>a1_new_minus_old</x:v>
      </x:c>
      <x:c r="B30" t="str">
        <x:v>atomic</x:v>
      </x:c>
      <x:c r="C30" t="str">
        <x:f>"qid:4150448921344430432"</x:f>
        <x:v>qid:4150448921344430432</x:v>
      </x:c>
      <x:c r="D30" s="14" t="str">
        <x:v>Who were the original twins in everybody loves raymond?</x:v>
      </x:c>
      <x:c r="E30" t="str">
        <x:v>old</x:v>
      </x:c>
      <x:c r="F30" t="str">
        <x:v>new</x:v>
      </x:c>
      <x:c r="G30" s="34" t="n">
        <x:v>1</x:v>
      </x:c>
      <x:c r="H30" s="34" t="n">
        <x:v>1</x:v>
      </x:c>
      <x:c r="I30" s="34" t="n">
        <x:v>0</x:v>
      </x:c>
      <x:c r="J30" t="str">
        <x:v>unchanged</x:v>
      </x:c>
      <x:c r="K30" t="n">
        <x:v>2</x:v>
      </x:c>
      <x:c r="L30" t="n">
        <x:v>2</x:v>
      </x:c>
      <x:c r="M30" t="n">
        <x:v>1</x:v>
      </x:c>
      <x:c r="N30" t="n">
        <x:v>1</x:v>
      </x:c>
    </x:row>
    <x:row r="31">
      <x:c r="A31" t="str">
        <x:v>a1_new_minus_old</x:v>
      </x:c>
      <x:c r="B31" t="str">
        <x:v>atomic</x:v>
      </x:c>
      <x:c r="C31" t="str">
        <x:f>"qid:4183252176965080529"</x:f>
        <x:v>qid:4183252176965080529</x:v>
      </x:c>
      <x:c r="D31" s="14" t="str">
        <x:v>When does the new independence day come out?</x:v>
      </x:c>
      <x:c r="E31" t="str">
        <x:v>old</x:v>
      </x:c>
      <x:c r="F31" t="str">
        <x:v>new</x:v>
      </x:c>
      <x:c r="G31" s="34" t="n">
        <x:v>0.5</x:v>
      </x:c>
      <x:c r="H31" s="34" t="n">
        <x:v>1</x:v>
      </x:c>
      <x:c r="I31" s="34" t="n">
        <x:v>0.5</x:v>
      </x:c>
      <x:c r="J31" t="str">
        <x:v>improved</x:v>
      </x:c>
      <x:c r="K31" t="n">
        <x:v>1</x:v>
      </x:c>
      <x:c r="L31" t="n">
        <x:v>2</x:v>
      </x:c>
      <x:c r="M31" t="n">
        <x:v>1</x:v>
      </x:c>
      <x:c r="N31" t="n">
        <x:v>1</x:v>
      </x:c>
    </x:row>
    <x:row r="32">
      <x:c r="A32" t="str">
        <x:v>a1_new_minus_old</x:v>
      </x:c>
      <x:c r="B32" t="str">
        <x:v>atomic</x:v>
      </x:c>
      <x:c r="C32" t="str">
        <x:f>"qid:4474597907223412132"</x:f>
        <x:v>qid:4474597907223412132</x:v>
      </x:c>
      <x:c r="D32" s="14" t="str">
        <x:v>Who were the two astronauts who stayed a year on the iss?</x:v>
      </x:c>
      <x:c r="E32" t="str">
        <x:v>old</x:v>
      </x:c>
      <x:c r="F32" t="str">
        <x:v>new</x:v>
      </x:c>
      <x:c r="G32" s="34" t="n">
        <x:v>1</x:v>
      </x:c>
      <x:c r="H32" s="34" t="n">
        <x:v>1</x:v>
      </x:c>
      <x:c r="I32" s="34" t="n">
        <x:v>0</x:v>
      </x:c>
      <x:c r="J32" t="str">
        <x:v>unchanged</x:v>
      </x:c>
      <x:c r="K32" t="n">
        <x:v>1</x:v>
      </x:c>
      <x:c r="L32" t="n">
        <x:v>1</x:v>
      </x:c>
      <x:c r="M32" t="n">
        <x:v>1</x:v>
      </x:c>
      <x:c r="N32" t="n">
        <x:v>1</x:v>
      </x:c>
    </x:row>
    <x:row r="33">
      <x:c r="A33" t="str">
        <x:v>a1_new_minus_old</x:v>
      </x:c>
      <x:c r="B33" t="str">
        <x:v>atomic</x:v>
      </x:c>
      <x:c r="C33" t="str">
        <x:f>"qid:586233275728240023"</x:f>
        <x:v>qid:586233275728240023</x:v>
      </x:c>
      <x:c r="D33" s="14" t="str">
        <x:v>What is the os of samsung smart tv?</x:v>
      </x:c>
      <x:c r="E33" t="str">
        <x:v>old</x:v>
      </x:c>
      <x:c r="F33" t="str">
        <x:v>new</x:v>
      </x:c>
      <x:c r="G33" s="34" t="n">
        <x:v>1</x:v>
      </x:c>
      <x:c r="H33" s="34" t="n">
        <x:v>1</x:v>
      </x:c>
      <x:c r="I33" s="34" t="n">
        <x:v>0</x:v>
      </x:c>
      <x:c r="J33" t="str">
        <x:v>unchanged</x:v>
      </x:c>
      <x:c r="K33" t="n">
        <x:v>1</x:v>
      </x:c>
      <x:c r="L33" t="n">
        <x:v>1</x:v>
      </x:c>
      <x:c r="M33" t="n">
        <x:v>1</x:v>
      </x:c>
      <x:c r="N33" t="n">
        <x:v>1</x:v>
      </x:c>
    </x:row>
    <x:row r="34">
      <x:c r="A34" t="str">
        <x:v>a1_new_minus_old</x:v>
      </x:c>
      <x:c r="B34" t="str">
        <x:v>atomic</x:v>
      </x:c>
      <x:c r="C34" t="str">
        <x:f>"qid:6257465985316109835"</x:f>
        <x:v>qid:6257465985316109835</x:v>
      </x:c>
      <x:c r="D34" s="14" t="str">
        <x:v>Who is the main character in liv and maddie?</x:v>
      </x:c>
      <x:c r="E34" t="str">
        <x:v>old</x:v>
      </x:c>
      <x:c r="F34" t="str">
        <x:v>new</x:v>
      </x:c>
      <x:c r="G34" s="34" t="n">
        <x:v>1</x:v>
      </x:c>
      <x:c r="H34" s="34" t="n">
        <x:v>1</x:v>
      </x:c>
      <x:c r="I34" s="34" t="n">
        <x:v>0</x:v>
      </x:c>
      <x:c r="J34" t="str">
        <x:v>unchanged</x:v>
      </x:c>
      <x:c r="K34" t="n">
        <x:v>1</x:v>
      </x:c>
      <x:c r="L34" t="n">
        <x:v>1</x:v>
      </x:c>
      <x:c r="M34" t="n">
        <x:v>1</x:v>
      </x:c>
      <x:c r="N34" t="n">
        <x:v>1</x:v>
      </x:c>
    </x:row>
    <x:row r="35">
      <x:c r="A35" t="str">
        <x:v>a1_new_minus_old</x:v>
      </x:c>
      <x:c r="B35" t="str">
        <x:v>atomic</x:v>
      </x:c>
      <x:c r="C35" t="str">
        <x:f>"qid:6514531923811923780"</x:f>
        <x:v>qid:6514531923811923780</x:v>
      </x:c>
      <x:c r="D35" s="14" t="str">
        <x:v>When does disney's food and wine festival end?</x:v>
      </x:c>
      <x:c r="E35" t="str">
        <x:v>old</x:v>
      </x:c>
      <x:c r="F35" t="str">
        <x:v>new</x:v>
      </x:c>
      <x:c r="G35" s="34" t="n">
        <x:v>1</x:v>
      </x:c>
      <x:c r="H35" s="34" t="n">
        <x:v>1</x:v>
      </x:c>
      <x:c r="I35" s="34" t="n">
        <x:v>0</x:v>
      </x:c>
      <x:c r="J35" t="str">
        <x:v>unchanged</x:v>
      </x:c>
      <x:c r="K35" t="n">
        <x:v>1</x:v>
      </x:c>
      <x:c r="L35" t="n">
        <x:v>1</x:v>
      </x:c>
      <x:c r="M35" t="n">
        <x:v>1</x:v>
      </x:c>
      <x:c r="N35" t="n">
        <x:v>1</x:v>
      </x:c>
    </x:row>
    <x:row r="36">
      <x:c r="A36" t="str">
        <x:v>a1_new_minus_old</x:v>
      </x:c>
      <x:c r="B36" t="str">
        <x:v>atomic</x:v>
      </x:c>
      <x:c r="C36" t="str">
        <x:f>"qid:6962706727076805207"</x:f>
        <x:v>qid:6962706727076805207</x:v>
      </x:c>
      <x:c r="D36" s="14" t="str">
        <x:v>What kind of car in to catch a thief?</x:v>
      </x:c>
      <x:c r="E36" t="str">
        <x:v>old</x:v>
      </x:c>
      <x:c r="F36" t="str">
        <x:v>new</x:v>
      </x:c>
      <x:c r="G36" s="34" t="n">
        <x:v>0.3333333333333333</x:v>
      </x:c>
      <x:c r="H36" s="34" t="n">
        <x:v>1</x:v>
      </x:c>
      <x:c r="I36" s="34" t="n">
        <x:v>0.6666666666666667</x:v>
      </x:c>
      <x:c r="J36" t="str">
        <x:v>improved</x:v>
      </x:c>
      <x:c r="K36" t="n">
        <x:v>1</x:v>
      </x:c>
      <x:c r="L36" t="n">
        <x:v>3</x:v>
      </x:c>
      <x:c r="M36" t="n">
        <x:v>1</x:v>
      </x:c>
      <x:c r="N36" t="n">
        <x:v>1</x:v>
      </x:c>
    </x:row>
    <x:row r="37">
      <x:c r="A37" t="str">
        <x:v>a1_new_minus_old</x:v>
      </x:c>
      <x:c r="B37" t="str">
        <x:v>atomic</x:v>
      </x:c>
      <x:c r="C37" t="str">
        <x:f>"qid:7150599999316106461"</x:f>
        <x:v>qid:7150599999316106461</x:v>
      </x:c>
      <x:c r="D37" s="14" t="str">
        <x:v>Who was the first singing brothers in the hall of fame?</x:v>
      </x:c>
      <x:c r="E37" t="str">
        <x:v>old</x:v>
      </x:c>
      <x:c r="F37" t="str">
        <x:v>new</x:v>
      </x:c>
      <x:c r="G37" s="34" t="n">
        <x:v>1</x:v>
      </x:c>
      <x:c r="H37" s="34" t="n">
        <x:v>1</x:v>
      </x:c>
      <x:c r="I37" s="34" t="n">
        <x:v>0</x:v>
      </x:c>
      <x:c r="J37" t="str">
        <x:v>unchanged</x:v>
      </x:c>
      <x:c r="K37" t="n">
        <x:v>2</x:v>
      </x:c>
      <x:c r="L37" t="n">
        <x:v>2</x:v>
      </x:c>
      <x:c r="M37" t="n">
        <x:v>1</x:v>
      </x:c>
      <x:c r="N37" t="n">
        <x:v>1</x:v>
      </x:c>
    </x:row>
    <x:row r="38">
      <x:c r="A38" t="str">
        <x:v>a1_new_minus_old</x:v>
      </x:c>
      <x:c r="B38" t="str">
        <x:v>atomic</x:v>
      </x:c>
      <x:c r="C38" t="str">
        <x:f>"qid:732619765350082410"</x:f>
        <x:v>qid:732619765350082410</x:v>
      </x:c>
      <x:c r="D38" s="14" t="str">
        <x:v>When did toronto host the mlb all-star game?</x:v>
      </x:c>
      <x:c r="E38" t="str">
        <x:v>old</x:v>
      </x:c>
      <x:c r="F38" t="str">
        <x:v>new</x:v>
      </x:c>
      <x:c r="G38" s="34" t="n">
        <x:v>1</x:v>
      </x:c>
      <x:c r="H38" s="34" t="n">
        <x:v>1</x:v>
      </x:c>
      <x:c r="I38" s="34" t="n">
        <x:v>0</x:v>
      </x:c>
      <x:c r="J38" t="str">
        <x:v>unchanged</x:v>
      </x:c>
      <x:c r="K38" t="n">
        <x:v>1</x:v>
      </x:c>
      <x:c r="L38" t="n">
        <x:v>1</x:v>
      </x:c>
      <x:c r="M38" t="n">
        <x:v>1</x:v>
      </x:c>
      <x:c r="N38" t="n">
        <x:v>1</x:v>
      </x:c>
    </x:row>
    <x:row r="39">
      <x:c r="A39" t="str">
        <x:v>a1_new_minus_old</x:v>
      </x:c>
      <x:c r="B39" t="str">
        <x:v>atomic</x:v>
      </x:c>
      <x:c r="C39" t="str">
        <x:f>"qid:743600309736467122"</x:f>
        <x:v>qid:743600309736467122</x:v>
      </x:c>
      <x:c r="D39" s="14" t="str">
        <x:v>When was on the revolutions of the heavenly spheres published?</x:v>
      </x:c>
      <x:c r="E39" t="str">
        <x:v>old</x:v>
      </x:c>
      <x:c r="F39" t="str">
        <x:v>new</x:v>
      </x:c>
      <x:c r="G39" s="34" t="n">
        <x:v>1</x:v>
      </x:c>
      <x:c r="H39" s="34" t="n">
        <x:v>1</x:v>
      </x:c>
      <x:c r="I39" s="34" t="n">
        <x:v>0</x:v>
      </x:c>
      <x:c r="J39" t="str">
        <x:v>unchanged</x:v>
      </x:c>
      <x:c r="K39" t="n">
        <x:v>1</x:v>
      </x:c>
      <x:c r="L39" t="n">
        <x:v>1</x:v>
      </x:c>
      <x:c r="M39" t="n">
        <x:v>1</x:v>
      </x:c>
      <x:c r="N39" t="n">
        <x:v>1</x:v>
      </x:c>
    </x:row>
    <x:row r="40">
      <x:c r="A40" t="str">
        <x:v>a1_new_minus_old</x:v>
      </x:c>
      <x:c r="B40" t="str">
        <x:v>atomic</x:v>
      </x:c>
      <x:c r="C40" t="str">
        <x:f>"qid:7494804303418493420"</x:f>
        <x:v>qid:7494804303418493420</x:v>
      </x:c>
      <x:c r="D40" s="14" t="str">
        <x:v>Movie with the song sunshine on my shoulders?</x:v>
      </x:c>
      <x:c r="E40" t="str">
        <x:v>old</x:v>
      </x:c>
      <x:c r="F40" t="str">
        <x:v>new</x:v>
      </x:c>
      <x:c r="G40" s="34" t="n">
        <x:v>1</x:v>
      </x:c>
      <x:c r="H40" s="34" t="n">
        <x:v>0</x:v>
      </x:c>
      <x:c r="I40" s="34" t="n">
        <x:v>-1</x:v>
      </x:c>
      <x:c r="J40" t="str">
        <x:v>regressed</x:v>
      </x:c>
      <x:c r="K40" t="n">
        <x:v>1</x:v>
      </x:c>
      <x:c r="L40" t="n">
        <x:v>1</x:v>
      </x:c>
      <x:c r="M40" t="n">
        <x:v>0</x:v>
      </x:c>
      <x:c r="N40" t="n">
        <x:v>1</x:v>
      </x:c>
    </x:row>
    <x:row r="41">
      <x:c r="A41" t="str">
        <x:v>a1_new_minus_old</x:v>
      </x:c>
      <x:c r="B41" t="str">
        <x:v>atomic</x:v>
      </x:c>
      <x:c r="C41" t="str">
        <x:f>"qid:7797208395147217894"</x:f>
        <x:v>qid:7797208395147217894</x:v>
      </x:c>
      <x:c r="D41" s="14" t="str">
        <x:v>When did west germany win the world cup?</x:v>
      </x:c>
      <x:c r="E41" t="str">
        <x:v>old</x:v>
      </x:c>
      <x:c r="F41" t="str">
        <x:v>new</x:v>
      </x:c>
      <x:c r="G41" s="34" t="n">
        <x:v>0.5</x:v>
      </x:c>
      <x:c r="H41" s="34" t="n">
        <x:v>1</x:v>
      </x:c>
      <x:c r="I41" s="34" t="n">
        <x:v>0.5</x:v>
      </x:c>
      <x:c r="J41" t="str">
        <x:v>improved</x:v>
      </x:c>
      <x:c r="K41" t="n">
        <x:v>1</x:v>
      </x:c>
      <x:c r="L41" t="n">
        <x:v>2</x:v>
      </x:c>
      <x:c r="M41" t="n">
        <x:v>1</x:v>
      </x:c>
      <x:c r="N41" t="n">
        <x:v>1</x:v>
      </x:c>
    </x:row>
    <x:row r="42">
      <x:c r="A42" t="str">
        <x:v>a1_new_minus_old</x:v>
      </x:c>
      <x:c r="B42" t="str">
        <x:v>atomic</x:v>
      </x:c>
      <x:c r="C42" t="str">
        <x:f>"qid:8433533625736230886"</x:f>
        <x:v>qid:8433533625736230886</x:v>
      </x:c>
      <x:c r="D42" s="14" t="str">
        <x:v>Who has won the most trophies man utd or liverpool?</x:v>
      </x:c>
      <x:c r="E42" t="str">
        <x:v>old</x:v>
      </x:c>
      <x:c r="F42" t="str">
        <x:v>new</x:v>
      </x:c>
      <x:c r="G42" s="34" t="n">
        <x:v>1</x:v>
      </x:c>
      <x:c r="H42" s="34" t="n">
        <x:v>1</x:v>
      </x:c>
      <x:c r="I42" s="34" t="n">
        <x:v>0</x:v>
      </x:c>
      <x:c r="J42" t="str">
        <x:v>unchanged</x:v>
      </x:c>
      <x:c r="K42" t="n">
        <x:v>1</x:v>
      </x:c>
      <x:c r="L42" t="n">
        <x:v>1</x:v>
      </x:c>
      <x:c r="M42" t="n">
        <x:v>1</x:v>
      </x:c>
      <x:c r="N42" t="n">
        <x:v>1</x:v>
      </x:c>
    </x:row>
    <x:row r="43">
      <x:c r="A43" t="str">
        <x:v>a1_new_minus_old</x:v>
      </x:c>
      <x:c r="B43" t="str">
        <x:v>atomic</x:v>
      </x:c>
      <x:c r="C43" t="str">
        <x:f>"qid:8686216144939155905"</x:f>
        <x:v>qid:8686216144939155905</x:v>
      </x:c>
      <x:c r="D43" s="14" t="str">
        <x:v>What is the name of the time zone for london?</x:v>
      </x:c>
      <x:c r="E43" t="str">
        <x:v>old</x:v>
      </x:c>
      <x:c r="F43" t="str">
        <x:v>new</x:v>
      </x:c>
      <x:c r="G43" s="34" t="n">
        <x:v>1</x:v>
      </x:c>
      <x:c r="H43" s="34" t="n">
        <x:v>1</x:v>
      </x:c>
      <x:c r="I43" s="34" t="n">
        <x:v>0</x:v>
      </x:c>
      <x:c r="J43" t="str">
        <x:v>unchanged</x:v>
      </x:c>
      <x:c r="K43" t="n">
        <x:v>1</x:v>
      </x:c>
      <x:c r="L43" t="n">
        <x:v>1</x:v>
      </x:c>
      <x:c r="M43" t="n">
        <x:v>1</x:v>
      </x:c>
      <x:c r="N43" t="n">
        <x:v>1</x:v>
      </x:c>
    </x:row>
    <x:row r="44">
      <x:c r="A44" t="str">
        <x:v>a1_new_minus_old</x:v>
      </x:c>
      <x:c r="B44" t="str">
        <x:v>atomic</x:v>
      </x:c>
      <x:c r="C44" t="str">
        <x:f>"qid:87005427005915954"</x:f>
        <x:v>qid:87005427005915954</x:v>
      </x:c>
      <x:c r="D44" s="14" t="str">
        <x:v>When was the last time galway won the hurling all ireland?</x:v>
      </x:c>
      <x:c r="E44" t="str">
        <x:v>old</x:v>
      </x:c>
      <x:c r="F44" t="str">
        <x:v>new</x:v>
      </x:c>
      <x:c r="G44" s="34" t="n">
        <x:v>1</x:v>
      </x:c>
      <x:c r="H44" s="34" t="n">
        <x:v>1</x:v>
      </x:c>
      <x:c r="I44" s="34" t="n">
        <x:v>0</x:v>
      </x:c>
      <x:c r="J44" t="str">
        <x:v>unchanged</x:v>
      </x:c>
      <x:c r="K44" t="n">
        <x:v>1</x:v>
      </x:c>
      <x:c r="L44" t="n">
        <x:v>1</x:v>
      </x:c>
      <x:c r="M44" t="n">
        <x:v>1</x:v>
      </x:c>
      <x:c r="N44" t="n">
        <x:v>1</x:v>
      </x:c>
    </x:row>
    <x:row r="45">
      <x:c r="A45" t="str">
        <x:v>a1_new_minus_old</x:v>
      </x:c>
      <x:c r="B45" t="str">
        <x:v>self_contained</x:v>
      </x:c>
      <x:c r="C45" t="str">
        <x:f>"qid:-1062522255440685408"</x:f>
        <x:v>qid:-1062522255440685408</x:v>
      </x:c>
      <x:c r="D45" s="14" t="str">
        <x:v>When did the first generation kindle fire come out?</x:v>
      </x:c>
      <x:c r="E45" t="str">
        <x:v>old</x:v>
      </x:c>
      <x:c r="F45" t="str">
        <x:v>new</x:v>
      </x:c>
      <x:c r="G45" s="34" t="n">
        <x:v>1</x:v>
      </x:c>
      <x:c r="H45" s="34" t="n">
        <x:v>1</x:v>
      </x:c>
      <x:c r="I45" s="34" t="n">
        <x:v>0</x:v>
      </x:c>
      <x:c r="J45" t="str">
        <x:v>unchanged</x:v>
      </x:c>
      <x:c r="K45" t="n">
        <x:v>1</x:v>
      </x:c>
      <x:c r="L45" t="n">
        <x:v>1</x:v>
      </x:c>
      <x:c r="M45" t="n">
        <x:v>1</x:v>
      </x:c>
      <x:c r="N45" t="n">
        <x:v>1</x:v>
      </x:c>
    </x:row>
    <x:row r="46">
      <x:c r="A46" t="str">
        <x:v>a1_new_minus_old</x:v>
      </x:c>
      <x:c r="B46" t="str">
        <x:v>self_contained</x:v>
      </x:c>
      <x:c r="C46" t="str">
        <x:f>"qid:-1859261645300630518"</x:f>
        <x:v>qid:-1859261645300630518</x:v>
      </x:c>
      <x:c r="D46" s="14" t="str">
        <x:v>When does steve come back in shameless season 5?</x:v>
      </x:c>
      <x:c r="E46" t="str">
        <x:v>old</x:v>
      </x:c>
      <x:c r="F46" t="str">
        <x:v>new</x:v>
      </x:c>
      <x:c r="G46" s="34" t="n">
        <x:v>0</x:v>
      </x:c>
      <x:c r="H46" s="34" t="n">
        <x:v>1</x:v>
      </x:c>
      <x:c r="I46" s="34" t="n">
        <x:v>1</x:v>
      </x:c>
      <x:c r="J46" t="str">
        <x:v>improved</x:v>
      </x:c>
      <x:c r="K46" t="n">
        <x:v>0</x:v>
      </x:c>
      <x:c r="L46" t="n">
        <x:v>2</x:v>
      </x:c>
      <x:c r="M46" t="n">
        <x:v>1</x:v>
      </x:c>
      <x:c r="N46" t="n">
        <x:v>1</x:v>
      </x:c>
    </x:row>
    <x:row r="47">
      <x:c r="A47" t="str">
        <x:v>a1_new_minus_old</x:v>
      </x:c>
      <x:c r="B47" t="str">
        <x:v>self_contained</x:v>
      </x:c>
      <x:c r="C47" t="str">
        <x:f>"qid:-2585133819352441604"</x:f>
        <x:v>qid:-2585133819352441604</x:v>
      </x:c>
      <x:c r="D47" s="14" t="str">
        <x:v>Name of first episode of this is us?</x:v>
      </x:c>
      <x:c r="E47" t="str">
        <x:v>old</x:v>
      </x:c>
      <x:c r="F47" t="str">
        <x:v>new</x:v>
      </x:c>
      <x:c r="G47" s="34" t="n">
        <x:v>0.5</x:v>
      </x:c>
      <x:c r="H47" s="34" t="n">
        <x:v>1</x:v>
      </x:c>
      <x:c r="I47" s="34" t="n">
        <x:v>0.5</x:v>
      </x:c>
      <x:c r="J47" t="str">
        <x:v>improved</x:v>
      </x:c>
      <x:c r="K47" t="n">
        <x:v>1</x:v>
      </x:c>
      <x:c r="L47" t="n">
        <x:v>2</x:v>
      </x:c>
      <x:c r="M47" t="n">
        <x:v>1</x:v>
      </x:c>
      <x:c r="N47" t="n">
        <x:v>1</x:v>
      </x:c>
    </x:row>
    <x:row r="48">
      <x:c r="A48" t="str">
        <x:v>a1_new_minus_old</x:v>
      </x:c>
      <x:c r="B48" t="str">
        <x:v>self_contained</x:v>
      </x:c>
      <x:c r="C48" t="str">
        <x:f>"qid:-3228483207040151533"</x:f>
        <x:v>qid:-3228483207040151533</x:v>
      </x:c>
      <x:c r="D48" s="14" t="str">
        <x:v>What bodies of water surround cabo san lucas?</x:v>
      </x:c>
      <x:c r="E48" t="str">
        <x:v>old</x:v>
      </x:c>
      <x:c r="F48" t="str">
        <x:v>new</x:v>
      </x:c>
      <x:c r="G48" s="34" t="n">
        <x:v>0.5</x:v>
      </x:c>
      <x:c r="H48" s="34" t="n">
        <x:v>0.5</x:v>
      </x:c>
      <x:c r="I48" s="34" t="n">
        <x:v>0</x:v>
      </x:c>
      <x:c r="J48" t="str">
        <x:v>unchanged</x:v>
      </x:c>
      <x:c r="K48" t="n">
        <x:v>1</x:v>
      </x:c>
      <x:c r="L48" t="n">
        <x:v>2</x:v>
      </x:c>
      <x:c r="M48" t="n">
        <x:v>1</x:v>
      </x:c>
      <x:c r="N48" t="n">
        <x:v>2</x:v>
      </x:c>
    </x:row>
    <x:row r="49">
      <x:c r="A49" t="str">
        <x:v>a1_new_minus_old</x:v>
      </x:c>
      <x:c r="B49" t="str">
        <x:v>self_contained</x:v>
      </x:c>
      <x:c r="C49" t="str">
        <x:f>"qid:-3279585462082900736"</x:f>
        <x:v>qid:-3279585462082900736</x:v>
      </x:c>
      <x:c r="D49" s="14" t="str">
        <x:v>Who gets fired on grey's anatomy season 6?</x:v>
      </x:c>
      <x:c r="E49" t="str">
        <x:v>old</x:v>
      </x:c>
      <x:c r="F49" t="str">
        <x:v>new</x:v>
      </x:c>
      <x:c r="G49" s="34" t="n">
        <x:v>1</x:v>
      </x:c>
      <x:c r="H49" s="34" t="n">
        <x:v>1</x:v>
      </x:c>
      <x:c r="I49" s="34" t="n">
        <x:v>0</x:v>
      </x:c>
      <x:c r="J49" t="str">
        <x:v>unchanged</x:v>
      </x:c>
      <x:c r="K49" t="n">
        <x:v>1</x:v>
      </x:c>
      <x:c r="L49" t="n">
        <x:v>1</x:v>
      </x:c>
      <x:c r="M49" t="n">
        <x:v>1</x:v>
      </x:c>
      <x:c r="N49" t="n">
        <x:v>1</x:v>
      </x:c>
    </x:row>
    <x:row r="50">
      <x:c r="A50" t="str">
        <x:v>a1_new_minus_old</x:v>
      </x:c>
      <x:c r="B50" t="str">
        <x:v>self_contained</x:v>
      </x:c>
      <x:c r="C50" t="str">
        <x:f>"qid:-3344541168958463110"</x:f>
        <x:v>qid:-3344541168958463110</x:v>
      </x:c>
      <x:c r="D50" s="14" t="str">
        <x:v>Who fought with an angel in the bible?</x:v>
      </x:c>
      <x:c r="E50" t="str">
        <x:v>old</x:v>
      </x:c>
      <x:c r="F50" t="str">
        <x:v>new</x:v>
      </x:c>
      <x:c r="G50" s="34" t="n">
        <x:v>0.3333333333333333</x:v>
      </x:c>
      <x:c r="H50" s="34" t="n">
        <x:v>1</x:v>
      </x:c>
      <x:c r="I50" s="34" t="n">
        <x:v>0.6666666666666667</x:v>
      </x:c>
      <x:c r="J50" t="str">
        <x:v>improved</x:v>
      </x:c>
      <x:c r="K50" t="n">
        <x:v>1</x:v>
      </x:c>
      <x:c r="L50" t="n">
        <x:v>3</x:v>
      </x:c>
      <x:c r="M50" t="n">
        <x:v>1</x:v>
      </x:c>
      <x:c r="N50" t="n">
        <x:v>1</x:v>
      </x:c>
    </x:row>
    <x:row r="51">
      <x:c r="A51" t="str">
        <x:v>a1_new_minus_old</x:v>
      </x:c>
      <x:c r="B51" t="str">
        <x:v>self_contained</x:v>
      </x:c>
      <x:c r="C51" t="str">
        <x:f>"qid:-3904805932335139116"</x:f>
        <x:v>qid:-3904805932335139116</x:v>
      </x:c>
      <x:c r="D51" s="14" t="str">
        <x:v>What was the daughter's name on the jetsons?</x:v>
      </x:c>
      <x:c r="E51" t="str">
        <x:v>old</x:v>
      </x:c>
      <x:c r="F51" t="str">
        <x:v>new</x:v>
      </x:c>
      <x:c r="G51" s="34" t="n">
        <x:v>0</x:v>
      </x:c>
      <x:c r="H51" s="34" t="n">
        <x:v>0</x:v>
      </x:c>
      <x:c r="I51" s="34" t="n">
        <x:v>0</x:v>
      </x:c>
      <x:c r="J51" t="str">
        <x:v>unchanged</x:v>
      </x:c>
      <x:c r="K51" t="n">
        <x:v>0</x:v>
      </x:c>
      <x:c r="L51" t="n">
        <x:v>1</x:v>
      </x:c>
      <x:c r="M51" t="n">
        <x:v>0</x:v>
      </x:c>
      <x:c r="N51" t="n">
        <x:v>1</x:v>
      </x:c>
    </x:row>
    <x:row r="52">
      <x:c r="A52" t="str">
        <x:v>a1_new_minus_old</x:v>
      </x:c>
      <x:c r="B52" t="str">
        <x:v>self_contained</x:v>
      </x:c>
      <x:c r="C52" t="str">
        <x:f>"qid:-4286108617234818000"</x:f>
        <x:v>qid:-4286108617234818000</x:v>
      </x:c>
      <x:c r="D52" s="14" t="str">
        <x:v>When does the new super troopers movie come out?</x:v>
      </x:c>
      <x:c r="E52" t="str">
        <x:v>old</x:v>
      </x:c>
      <x:c r="F52" t="str">
        <x:v>new</x:v>
      </x:c>
      <x:c r="G52" s="34" t="n">
        <x:v>1</x:v>
      </x:c>
      <x:c r="H52" s="34" t="n">
        <x:v>1</x:v>
      </x:c>
      <x:c r="I52" s="34" t="n">
        <x:v>0</x:v>
      </x:c>
      <x:c r="J52" t="str">
        <x:v>unchanged</x:v>
      </x:c>
      <x:c r="K52" t="n">
        <x:v>1</x:v>
      </x:c>
      <x:c r="L52" t="n">
        <x:v>1</x:v>
      </x:c>
      <x:c r="M52" t="n">
        <x:v>1</x:v>
      </x:c>
      <x:c r="N52" t="n">
        <x:v>1</x:v>
      </x:c>
    </x:row>
    <x:row r="53">
      <x:c r="A53" t="str">
        <x:v>a1_new_minus_old</x:v>
      </x:c>
      <x:c r="B53" t="str">
        <x:v>self_contained</x:v>
      </x:c>
      <x:c r="C53" t="str">
        <x:f>"qid:-4456614433280196572"</x:f>
        <x:v>qid:-4456614433280196572</x:v>
      </x:c>
      <x:c r="D53" s="14" t="str">
        <x:v>What season does meredith and derek get married in grey's anatomy?</x:v>
      </x:c>
      <x:c r="E53" t="str">
        <x:v>old</x:v>
      </x:c>
      <x:c r="F53" t="str">
        <x:v>new</x:v>
      </x:c>
      <x:c r="G53" s="34" t="n">
        <x:v>1</x:v>
      </x:c>
      <x:c r="H53" s="34" t="n">
        <x:v>1</x:v>
      </x:c>
      <x:c r="I53" s="34" t="n">
        <x:v>0</x:v>
      </x:c>
      <x:c r="J53" t="str">
        <x:v>unchanged</x:v>
      </x:c>
      <x:c r="K53" t="n">
        <x:v>1</x:v>
      </x:c>
      <x:c r="L53" t="n">
        <x:v>1</x:v>
      </x:c>
      <x:c r="M53" t="n">
        <x:v>1</x:v>
      </x:c>
      <x:c r="N53" t="n">
        <x:v>1</x:v>
      </x:c>
    </x:row>
    <x:row r="54">
      <x:c r="A54" t="str">
        <x:v>a1_new_minus_old</x:v>
      </x:c>
      <x:c r="B54" t="str">
        <x:v>self_contained</x:v>
      </x:c>
      <x:c r="C54" t="str">
        <x:f>"qid:-447198893588059167"</x:f>
        <x:v>qid:-447198893588059167</x:v>
      </x:c>
      <x:c r="D54" s="14" t="str">
        <x:v>Who played the father in leave it to beaver?</x:v>
      </x:c>
      <x:c r="E54" t="str">
        <x:v>old</x:v>
      </x:c>
      <x:c r="F54" t="str">
        <x:v>new</x:v>
      </x:c>
      <x:c r="G54" s="34" t="n">
        <x:v>0.5</x:v>
      </x:c>
      <x:c r="H54" s="34" t="n">
        <x:v>1</x:v>
      </x:c>
      <x:c r="I54" s="34" t="n">
        <x:v>0.5</x:v>
      </x:c>
      <x:c r="J54" t="str">
        <x:v>improved</x:v>
      </x:c>
      <x:c r="K54" t="n">
        <x:v>1</x:v>
      </x:c>
      <x:c r="L54" t="n">
        <x:v>2</x:v>
      </x:c>
      <x:c r="M54" t="n">
        <x:v>1</x:v>
      </x:c>
      <x:c r="N54" t="n">
        <x:v>1</x:v>
      </x:c>
    </x:row>
    <x:row r="55">
      <x:c r="A55" t="str">
        <x:v>a1_new_minus_old</x:v>
      </x:c>
      <x:c r="B55" t="str">
        <x:v>self_contained</x:v>
      </x:c>
      <x:c r="C55" t="str">
        <x:f>"qid:-4649654703638364295"</x:f>
        <x:v>qid:-4649654703638364295</x:v>
      </x:c>
      <x:c r="D55" s="14" t="str">
        <x:v>Who made it through the divisional finals world of dance?</x:v>
      </x:c>
      <x:c r="E55" t="str">
        <x:v>old</x:v>
      </x:c>
      <x:c r="F55" t="str">
        <x:v>new</x:v>
      </x:c>
      <x:c r="G55" s="34" t="n">
        <x:v>1</x:v>
      </x:c>
      <x:c r="H55" s="34" t="n">
        <x:v>1</x:v>
      </x:c>
      <x:c r="I55" s="34" t="n">
        <x:v>0</x:v>
      </x:c>
      <x:c r="J55" t="str">
        <x:v>unchanged</x:v>
      </x:c>
      <x:c r="K55" t="n">
        <x:v>1</x:v>
      </x:c>
      <x:c r="L55" t="n">
        <x:v>1</x:v>
      </x:c>
      <x:c r="M55" t="n">
        <x:v>1</x:v>
      </x:c>
      <x:c r="N55" t="n">
        <x:v>1</x:v>
      </x:c>
    </x:row>
    <x:row r="56">
      <x:c r="A56" t="str">
        <x:v>a1_new_minus_old</x:v>
      </x:c>
      <x:c r="B56" t="str">
        <x:v>self_contained</x:v>
      </x:c>
      <x:c r="C56" t="str">
        <x:f>"qid:-4873786835306543030"</x:f>
        <x:v>qid:-4873786835306543030</x:v>
      </x:c>
      <x:c r="D56" s="14" t="str">
        <x:v>Who is the chief minister of m. p?</x:v>
      </x:c>
      <x:c r="E56" t="str">
        <x:v>old</x:v>
      </x:c>
      <x:c r="F56" t="str">
        <x:v>new</x:v>
      </x:c>
      <x:c r="G56" s="34" t="n">
        <x:v>1</x:v>
      </x:c>
      <x:c r="H56" s="34" t="n">
        <x:v>1</x:v>
      </x:c>
      <x:c r="I56" s="34" t="n">
        <x:v>0</x:v>
      </x:c>
      <x:c r="J56" t="str">
        <x:v>unchanged</x:v>
      </x:c>
      <x:c r="K56" t="n">
        <x:v>1</x:v>
      </x:c>
      <x:c r="L56" t="n">
        <x:v>1</x:v>
      </x:c>
      <x:c r="M56" t="n">
        <x:v>1</x:v>
      </x:c>
      <x:c r="N56" t="n">
        <x:v>1</x:v>
      </x:c>
    </x:row>
    <x:row r="57">
      <x:c r="A57" t="str">
        <x:v>a1_new_minus_old</x:v>
      </x:c>
      <x:c r="B57" t="str">
        <x:v>self_contained</x:v>
      </x:c>
      <x:c r="C57" t="str">
        <x:f>"qid:-4995398567532229571"</x:f>
        <x:v>qid:-4995398567532229571</x:v>
      </x:c>
      <x:c r="D57" s="14" t="str">
        <x:v>When did ragtime flourished in the united states?</x:v>
      </x:c>
      <x:c r="E57" t="str">
        <x:v>old</x:v>
      </x:c>
      <x:c r="F57" t="str">
        <x:v>new</x:v>
      </x:c>
      <x:c r="G57" s="34" t="n">
        <x:v>0.6666666666666666</x:v>
      </x:c>
      <x:c r="H57" s="34" t="n">
        <x:v>1</x:v>
      </x:c>
      <x:c r="I57" s="34" t="n">
        <x:v>0.33333333333333337</x:v>
      </x:c>
      <x:c r="J57" t="str">
        <x:v>improved</x:v>
      </x:c>
      <x:c r="K57" t="n">
        <x:v>2</x:v>
      </x:c>
      <x:c r="L57" t="n">
        <x:v>3</x:v>
      </x:c>
      <x:c r="M57" t="n">
        <x:v>1</x:v>
      </x:c>
      <x:c r="N57" t="n">
        <x:v>1</x:v>
      </x:c>
    </x:row>
    <x:row r="58">
      <x:c r="A58" t="str">
        <x:v>a1_new_minus_old</x:v>
      </x:c>
      <x:c r="B58" t="str">
        <x:v>self_contained</x:v>
      </x:c>
      <x:c r="C58" t="str">
        <x:f>"qid:-5036947181661390825"</x:f>
        <x:v>qid:-5036947181661390825</x:v>
      </x:c>
      <x:c r="D58" s="14" t="str">
        <x:v>When was the vietnam veterans war memorial built?</x:v>
      </x:c>
      <x:c r="E58" t="str">
        <x:v>old</x:v>
      </x:c>
      <x:c r="F58" t="str">
        <x:v>new</x:v>
      </x:c>
      <x:c r="G58" s="34" t="n">
        <x:v>1</x:v>
      </x:c>
      <x:c r="H58" s="34" t="n">
        <x:v>1</x:v>
      </x:c>
      <x:c r="I58" s="34" t="n">
        <x:v>0</x:v>
      </x:c>
      <x:c r="J58" t="str">
        <x:v>unchanged</x:v>
      </x:c>
      <x:c r="K58" t="n">
        <x:v>1</x:v>
      </x:c>
      <x:c r="L58" t="n">
        <x:v>1</x:v>
      </x:c>
      <x:c r="M58" t="n">
        <x:v>1</x:v>
      </x:c>
      <x:c r="N58" t="n">
        <x:v>1</x:v>
      </x:c>
    </x:row>
    <x:row r="59">
      <x:c r="A59" t="str">
        <x:v>a1_new_minus_old</x:v>
      </x:c>
      <x:c r="B59" t="str">
        <x:v>self_contained</x:v>
      </x:c>
      <x:c r="C59" t="str">
        <x:f>"qid:-5116644172939113883"</x:f>
        <x:v>qid:-5116644172939113883</x:v>
      </x:c>
      <x:c r="D59" s="14" t="str">
        <x:v>Who raps in the gorillaz song clint eastwood?</x:v>
      </x:c>
      <x:c r="E59" t="str">
        <x:v>old</x:v>
      </x:c>
      <x:c r="F59" t="str">
        <x:v>new</x:v>
      </x:c>
      <x:c r="G59" s="34" t="n">
        <x:v>1</x:v>
      </x:c>
      <x:c r="H59" s="34" t="n">
        <x:v>1</x:v>
      </x:c>
      <x:c r="I59" s="34" t="n">
        <x:v>0</x:v>
      </x:c>
      <x:c r="J59" t="str">
        <x:v>unchanged</x:v>
      </x:c>
      <x:c r="K59" t="n">
        <x:v>1</x:v>
      </x:c>
      <x:c r="L59" t="n">
        <x:v>1</x:v>
      </x:c>
      <x:c r="M59" t="n">
        <x:v>1</x:v>
      </x:c>
      <x:c r="N59" t="n">
        <x:v>1</x:v>
      </x:c>
    </x:row>
    <x:row r="60">
      <x:c r="A60" t="str">
        <x:v>a1_new_minus_old</x:v>
      </x:c>
      <x:c r="B60" t="str">
        <x:v>self_contained</x:v>
      </x:c>
      <x:c r="C60" t="str">
        <x:f>"qid:-5333049627570569397"</x:f>
        <x:v>qid:-5333049627570569397</x:v>
      </x:c>
      <x:c r="D60" s="14" t="str">
        <x:v>When did the song can't touch this come out?</x:v>
      </x:c>
      <x:c r="E60" t="str">
        <x:v>old</x:v>
      </x:c>
      <x:c r="F60" t="str">
        <x:v>new</x:v>
      </x:c>
      <x:c r="G60" s="34" t="n">
        <x:v>1</x:v>
      </x:c>
      <x:c r="H60" s="34" t="n">
        <x:v>1</x:v>
      </x:c>
      <x:c r="I60" s="34" t="n">
        <x:v>0</x:v>
      </x:c>
      <x:c r="J60" t="str">
        <x:v>unchanged</x:v>
      </x:c>
      <x:c r="K60" t="n">
        <x:v>1</x:v>
      </x:c>
      <x:c r="L60" t="n">
        <x:v>1</x:v>
      </x:c>
      <x:c r="M60" t="n">
        <x:v>1</x:v>
      </x:c>
      <x:c r="N60" t="n">
        <x:v>1</x:v>
      </x:c>
    </x:row>
    <x:row r="61">
      <x:c r="A61" t="str">
        <x:v>a1_new_minus_old</x:v>
      </x:c>
      <x:c r="B61" t="str">
        <x:v>self_contained</x:v>
      </x:c>
      <x:c r="C61" t="str">
        <x:f>"qid:-5564120845047915486"</x:f>
        <x:v>qid:-5564120845047915486</x:v>
      </x:c>
      <x:c r="D61" s="14" t="str">
        <x:v>Where do you find a simple gear train?</x:v>
      </x:c>
      <x:c r="E61" t="str">
        <x:v>old</x:v>
      </x:c>
      <x:c r="F61" t="str">
        <x:v>new</x:v>
      </x:c>
      <x:c r="G61" s="34" t="n">
        <x:v>0.6666666666666666</x:v>
      </x:c>
      <x:c r="H61" s="34" t="n">
        <x:v>1</x:v>
      </x:c>
      <x:c r="I61" s="34" t="n">
        <x:v>0.33333333333333337</x:v>
      </x:c>
      <x:c r="J61" t="str">
        <x:v>improved</x:v>
      </x:c>
      <x:c r="K61" t="n">
        <x:v>2</x:v>
      </x:c>
      <x:c r="L61" t="n">
        <x:v>3</x:v>
      </x:c>
      <x:c r="M61" t="n">
        <x:v>1</x:v>
      </x:c>
      <x:c r="N61" t="n">
        <x:v>1</x:v>
      </x:c>
    </x:row>
    <x:row r="62">
      <x:c r="A62" t="str">
        <x:v>a1_new_minus_old</x:v>
      </x:c>
      <x:c r="B62" t="str">
        <x:v>self_contained</x:v>
      </x:c>
      <x:c r="C62" t="str">
        <x:f>"qid:-5842265707961388968"</x:f>
        <x:v>qid:-5842265707961388968</x:v>
      </x:c>
      <x:c r="D62" s="14" t="str">
        <x:v>Who beat villanova last year in the ncaa tournament?</x:v>
      </x:c>
      <x:c r="E62" t="str">
        <x:v>old</x:v>
      </x:c>
      <x:c r="F62" t="str">
        <x:v>new</x:v>
      </x:c>
      <x:c r="G62" s="34" t="n">
        <x:v>0.4</x:v>
      </x:c>
      <x:c r="H62" s="34" t="n">
        <x:v>1</x:v>
      </x:c>
      <x:c r="I62" s="34" t="n">
        <x:v>0.6</x:v>
      </x:c>
      <x:c r="J62" t="str">
        <x:v>improved</x:v>
      </x:c>
      <x:c r="K62" t="n">
        <x:v>2</x:v>
      </x:c>
      <x:c r="L62" t="n">
        <x:v>5</x:v>
      </x:c>
      <x:c r="M62" t="n">
        <x:v>1</x:v>
      </x:c>
      <x:c r="N62" t="n">
        <x:v>1</x:v>
      </x:c>
    </x:row>
    <x:row r="63">
      <x:c r="A63" t="str">
        <x:v>a1_new_minus_old</x:v>
      </x:c>
      <x:c r="B63" t="str">
        <x:v>self_contained</x:v>
      </x:c>
      <x:c r="C63" t="str">
        <x:f>"qid:-5942352520455511076"</x:f>
        <x:v>qid:-5942352520455511076</x:v>
      </x:c>
      <x:c r="D63" s="14" t="str">
        <x:v>Where can adipose tissue be found in the body?</x:v>
      </x:c>
      <x:c r="E63" t="str">
        <x:v>old</x:v>
      </x:c>
      <x:c r="F63" t="str">
        <x:v>new</x:v>
      </x:c>
      <x:c r="G63" s="34" t="n">
        <x:v>0.3333333333333333</x:v>
      </x:c>
      <x:c r="H63" s="34" t="n">
        <x:v>1</x:v>
      </x:c>
      <x:c r="I63" s="34" t="n">
        <x:v>0.6666666666666667</x:v>
      </x:c>
      <x:c r="J63" t="str">
        <x:v>improved</x:v>
      </x:c>
      <x:c r="K63" t="n">
        <x:v>1</x:v>
      </x:c>
      <x:c r="L63" t="n">
        <x:v>3</x:v>
      </x:c>
      <x:c r="M63" t="n">
        <x:v>1</x:v>
      </x:c>
      <x:c r="N63" t="n">
        <x:v>1</x:v>
      </x:c>
    </x:row>
    <x:row r="64">
      <x:c r="A64" t="str">
        <x:v>a1_new_minus_old</x:v>
      </x:c>
      <x:c r="B64" t="str">
        <x:v>self_contained</x:v>
      </x:c>
      <x:c r="C64" t="str">
        <x:f>"qid:-62521546794442829"</x:f>
        <x:v>qid:-62521546794442829</x:v>
      </x:c>
      <x:c r="D64" s="14" t="str">
        <x:v>For whom was the battle of king's mountain a victory?</x:v>
      </x:c>
      <x:c r="E64" t="str">
        <x:v>old</x:v>
      </x:c>
      <x:c r="F64" t="str">
        <x:v>new</x:v>
      </x:c>
      <x:c r="G64" s="34" t="n">
        <x:v>1</x:v>
      </x:c>
      <x:c r="H64" s="34" t="n">
        <x:v>1</x:v>
      </x:c>
      <x:c r="I64" s="34" t="n">
        <x:v>0</x:v>
      </x:c>
      <x:c r="J64" t="str">
        <x:v>unchanged</x:v>
      </x:c>
      <x:c r="K64" t="n">
        <x:v>1</x:v>
      </x:c>
      <x:c r="L64" t="n">
        <x:v>1</x:v>
      </x:c>
      <x:c r="M64" t="n">
        <x:v>1</x:v>
      </x:c>
      <x:c r="N64" t="n">
        <x:v>1</x:v>
      </x:c>
    </x:row>
    <x:row r="65">
      <x:c r="A65" t="str">
        <x:v>a1_new_minus_old</x:v>
      </x:c>
      <x:c r="B65" t="str">
        <x:v>self_contained</x:v>
      </x:c>
      <x:c r="C65" t="str">
        <x:f>"qid:-6702031255040326279"</x:f>
        <x:v>qid:-6702031255040326279</x:v>
      </x:c>
      <x:c r="D65" s="14" t="str">
        <x:v>Which of the animal is a carrier of h1n1?</x:v>
      </x:c>
      <x:c r="E65" t="str">
        <x:v>old</x:v>
      </x:c>
      <x:c r="F65" t="str">
        <x:v>new</x:v>
      </x:c>
      <x:c r="G65" s="34" t="n">
        <x:v>1</x:v>
      </x:c>
      <x:c r="H65" s="34" t="n">
        <x:v>1</x:v>
      </x:c>
      <x:c r="I65" s="34" t="n">
        <x:v>0</x:v>
      </x:c>
      <x:c r="J65" t="str">
        <x:v>unchanged</x:v>
      </x:c>
      <x:c r="K65" t="n">
        <x:v>2</x:v>
      </x:c>
      <x:c r="L65" t="n">
        <x:v>2</x:v>
      </x:c>
      <x:c r="M65" t="n">
        <x:v>1</x:v>
      </x:c>
      <x:c r="N65" t="n">
        <x:v>1</x:v>
      </x:c>
    </x:row>
    <x:row r="66">
      <x:c r="A66" t="str">
        <x:v>a1_new_minus_old</x:v>
      </x:c>
      <x:c r="B66" t="str">
        <x:v>self_contained</x:v>
      </x:c>
      <x:c r="C66" t="str">
        <x:f>"qid:-728189424752983312"</x:f>
        <x:v>qid:-728189424752983312</x:v>
      </x:c>
      <x:c r="D66" s="14" t="str">
        <x:v>Where did the term bye felicia come from?</x:v>
      </x:c>
      <x:c r="E66" t="str">
        <x:v>old</x:v>
      </x:c>
      <x:c r="F66" t="str">
        <x:v>new</x:v>
      </x:c>
      <x:c r="G66" s="34" t="n">
        <x:v>0.5</x:v>
      </x:c>
      <x:c r="H66" s="34" t="n">
        <x:v>1</x:v>
      </x:c>
      <x:c r="I66" s="34" t="n">
        <x:v>0.5</x:v>
      </x:c>
      <x:c r="J66" t="str">
        <x:v>improved</x:v>
      </x:c>
      <x:c r="K66" t="n">
        <x:v>1</x:v>
      </x:c>
      <x:c r="L66" t="n">
        <x:v>2</x:v>
      </x:c>
      <x:c r="M66" t="n">
        <x:v>1</x:v>
      </x:c>
      <x:c r="N66" t="n">
        <x:v>1</x:v>
      </x:c>
    </x:row>
    <x:row r="67">
      <x:c r="A67" t="str">
        <x:v>a1_new_minus_old</x:v>
      </x:c>
      <x:c r="B67" t="str">
        <x:v>self_contained</x:v>
      </x:c>
      <x:c r="C67" t="str">
        <x:f>"qid:-7699606393193219666"</x:f>
        <x:v>qid:-7699606393193219666</x:v>
      </x:c>
      <x:c r="D67" s="14" t="str">
        <x:v>Who played cowboy curtis on pee wee herman?</x:v>
      </x:c>
      <x:c r="E67" t="str">
        <x:v>old</x:v>
      </x:c>
      <x:c r="F67" t="str">
        <x:v>new</x:v>
      </x:c>
      <x:c r="G67" s="34" t="n">
        <x:v>0</x:v>
      </x:c>
      <x:c r="H67" s="34" t="n">
        <x:v>0.5</x:v>
      </x:c>
      <x:c r="I67" s="34" t="n">
        <x:v>0.5</x:v>
      </x:c>
      <x:c r="J67" t="str">
        <x:v>improved</x:v>
      </x:c>
      <x:c r="K67" t="n">
        <x:v>0</x:v>
      </x:c>
      <x:c r="L67" t="n">
        <x:v>1</x:v>
      </x:c>
      <x:c r="M67" t="n">
        <x:v>1</x:v>
      </x:c>
      <x:c r="N67" t="n">
        <x:v>2</x:v>
      </x:c>
    </x:row>
    <x:row r="68">
      <x:c r="A68" t="str">
        <x:v>a1_new_minus_old</x:v>
      </x:c>
      <x:c r="B68" t="str">
        <x:v>self_contained</x:v>
      </x:c>
      <x:c r="C68" t="str">
        <x:f>"qid:-7824075627194227170"</x:f>
        <x:v>qid:-7824075627194227170</x:v>
      </x:c>
      <x:c r="D68" s="14" t="str">
        <x:v>When was the commission fir sc/st established?</x:v>
      </x:c>
      <x:c r="E68" t="str">
        <x:v>old</x:v>
      </x:c>
      <x:c r="F68" t="str">
        <x:v>new</x:v>
      </x:c>
      <x:c r="G68" s="34" t="n">
        <x:v>0.5</x:v>
      </x:c>
      <x:c r="H68" s="34" t="n">
        <x:v>1</x:v>
      </x:c>
      <x:c r="I68" s="34" t="n">
        <x:v>0.5</x:v>
      </x:c>
      <x:c r="J68" t="str">
        <x:v>improved</x:v>
      </x:c>
      <x:c r="K68" t="n">
        <x:v>2</x:v>
      </x:c>
      <x:c r="L68" t="n">
        <x:v>4</x:v>
      </x:c>
      <x:c r="M68" t="n">
        <x:v>1</x:v>
      </x:c>
      <x:c r="N68" t="n">
        <x:v>1</x:v>
      </x:c>
    </x:row>
    <x:row r="69">
      <x:c r="A69" t="str">
        <x:v>a1_new_minus_old</x:v>
      </x:c>
      <x:c r="B69" t="str">
        <x:v>self_contained</x:v>
      </x:c>
      <x:c r="C69" t="str">
        <x:f>"qid:-8286966211355378010"</x:f>
        <x:v>qid:-8286966211355378010</x:v>
      </x:c>
      <x:c r="D69" s="14" t="str">
        <x:v>What is the objective of tour de france?</x:v>
      </x:c>
      <x:c r="E69" t="str">
        <x:v>old</x:v>
      </x:c>
      <x:c r="F69" t="str">
        <x:v>new</x:v>
      </x:c>
      <x:c r="G69" s="34" t="n">
        <x:v>0.5</x:v>
      </x:c>
      <x:c r="H69" s="34" t="n">
        <x:v>1</x:v>
      </x:c>
      <x:c r="I69" s="34" t="n">
        <x:v>0.5</x:v>
      </x:c>
      <x:c r="J69" t="str">
        <x:v>improved</x:v>
      </x:c>
      <x:c r="K69" t="n">
        <x:v>1</x:v>
      </x:c>
      <x:c r="L69" t="n">
        <x:v>2</x:v>
      </x:c>
      <x:c r="M69" t="n">
        <x:v>1</x:v>
      </x:c>
      <x:c r="N69" t="n">
        <x:v>1</x:v>
      </x:c>
    </x:row>
    <x:row r="70">
      <x:c r="A70" t="str">
        <x:v>a1_new_minus_old</x:v>
      </x:c>
      <x:c r="B70" t="str">
        <x:v>self_contained</x:v>
      </x:c>
      <x:c r="C70" t="str">
        <x:f>"qid:-9141149438582194391"</x:f>
        <x:v>qid:-9141149438582194391</x:v>
      </x:c>
      <x:c r="D70" s="14" t="str">
        <x:v>Who has scored the highest number of runs in test cricket?</x:v>
      </x:c>
      <x:c r="E70" t="str">
        <x:v>old</x:v>
      </x:c>
      <x:c r="F70" t="str">
        <x:v>new</x:v>
      </x:c>
      <x:c r="G70" s="34" t="n">
        <x:v>0</x:v>
      </x:c>
      <x:c r="H70" s="34" t="n">
        <x:v>0</x:v>
      </x:c>
      <x:c r="I70" s="34" t="n">
        <x:v>0</x:v>
      </x:c>
      <x:c r="J70" t="str">
        <x:v>unchanged</x:v>
      </x:c>
      <x:c r="K70" t="n">
        <x:v>0</x:v>
      </x:c>
      <x:c r="L70" t="n">
        <x:v>3</x:v>
      </x:c>
      <x:c r="M70" t="n">
        <x:v>0</x:v>
      </x:c>
      <x:c r="N70" t="n">
        <x:v>4</x:v>
      </x:c>
    </x:row>
    <x:row r="71">
      <x:c r="A71" t="str">
        <x:v>a1_new_minus_old</x:v>
      </x:c>
      <x:c r="B71" t="str">
        <x:v>self_contained</x:v>
      </x:c>
      <x:c r="C71" t="str">
        <x:f>"qid:-99543908387769967"</x:f>
        <x:v>qid:-99543908387769967</x:v>
      </x:c>
      <x:c r="D71" s="14" t="str">
        <x:v>Who does sansa marry on game of thrones?</x:v>
      </x:c>
      <x:c r="E71" t="str">
        <x:v>old</x:v>
      </x:c>
      <x:c r="F71" t="str">
        <x:v>new</x:v>
      </x:c>
      <x:c r="G71" s="34" t="n">
        <x:v>0.5</x:v>
      </x:c>
      <x:c r="H71" s="34" t="n">
        <x:v>1</x:v>
      </x:c>
      <x:c r="I71" s="34" t="n">
        <x:v>0.5</x:v>
      </x:c>
      <x:c r="J71" t="str">
        <x:v>improved</x:v>
      </x:c>
      <x:c r="K71" t="n">
        <x:v>2</x:v>
      </x:c>
      <x:c r="L71" t="n">
        <x:v>4</x:v>
      </x:c>
      <x:c r="M71" t="n">
        <x:v>1</x:v>
      </x:c>
      <x:c r="N71" t="n">
        <x:v>1</x:v>
      </x:c>
    </x:row>
    <x:row r="72">
      <x:c r="A72" t="str">
        <x:v>a1_new_minus_old</x:v>
      </x:c>
      <x:c r="B72" t="str">
        <x:v>self_contained</x:v>
      </x:c>
      <x:c r="C72" t="str">
        <x:f>"qid:16881061444712536"</x:f>
        <x:v>qid:16881061444712536</x:v>
      </x:c>
      <x:c r="D72" s="14" t="str">
        <x:v>Where does the amazon river start and finish?</x:v>
      </x:c>
      <x:c r="E72" t="str">
        <x:v>old</x:v>
      </x:c>
      <x:c r="F72" t="str">
        <x:v>new</x:v>
      </x:c>
      <x:c r="G72" s="34" t="n">
        <x:v>0.3333333333333333</x:v>
      </x:c>
      <x:c r="H72" s="34" t="n">
        <x:v>1</x:v>
      </x:c>
      <x:c r="I72" s="34" t="n">
        <x:v>0.6666666666666667</x:v>
      </x:c>
      <x:c r="J72" t="str">
        <x:v>improved</x:v>
      </x:c>
      <x:c r="K72" t="n">
        <x:v>1</x:v>
      </x:c>
      <x:c r="L72" t="n">
        <x:v>3</x:v>
      </x:c>
      <x:c r="M72" t="n">
        <x:v>2</x:v>
      </x:c>
      <x:c r="N72" t="n">
        <x:v>2</x:v>
      </x:c>
    </x:row>
    <x:row r="73">
      <x:c r="A73" t="str">
        <x:v>a1_new_minus_old</x:v>
      </x:c>
      <x:c r="B73" t="str">
        <x:v>self_contained</x:v>
      </x:c>
      <x:c r="C73" t="str">
        <x:f>"qid:1763163294931046731"</x:f>
        <x:v>qid:1763163294931046731</x:v>
      </x:c>
      <x:c r="D73" s="14" t="str">
        <x:v>Who played violet rutherford on leave it to beaver?</x:v>
      </x:c>
      <x:c r="E73" t="str">
        <x:v>old</x:v>
      </x:c>
      <x:c r="F73" t="str">
        <x:v>new</x:v>
      </x:c>
      <x:c r="G73" s="34" t="n">
        <x:v>1</x:v>
      </x:c>
      <x:c r="H73" s="34" t="n">
        <x:v>1</x:v>
      </x:c>
      <x:c r="I73" s="34" t="n">
        <x:v>0</x:v>
      </x:c>
      <x:c r="J73" t="str">
        <x:v>unchanged</x:v>
      </x:c>
      <x:c r="K73" t="n">
        <x:v>1</x:v>
      </x:c>
      <x:c r="L73" t="n">
        <x:v>1</x:v>
      </x:c>
      <x:c r="M73" t="n">
        <x:v>1</x:v>
      </x:c>
      <x:c r="N73" t="n">
        <x:v>1</x:v>
      </x:c>
    </x:row>
    <x:row r="74">
      <x:c r="A74" t="str">
        <x:v>a1_new_minus_old</x:v>
      </x:c>
      <x:c r="B74" t="str">
        <x:v>self_contained</x:v>
      </x:c>
      <x:c r="C74" t="str">
        <x:f>"qid:2221044921312683785"</x:f>
        <x:v>qid:2221044921312683785</x:v>
      </x:c>
      <x:c r="D74" s="14" t="str">
        <x:v>When did the apple tv 4k come out?</x:v>
      </x:c>
      <x:c r="E74" t="str">
        <x:v>old</x:v>
      </x:c>
      <x:c r="F74" t="str">
        <x:v>new</x:v>
      </x:c>
      <x:c r="G74" s="34" t="n">
        <x:v>0.3333333333333333</x:v>
      </x:c>
      <x:c r="H74" s="34" t="n">
        <x:v>1</x:v>
      </x:c>
      <x:c r="I74" s="34" t="n">
        <x:v>0.6666666666666667</x:v>
      </x:c>
      <x:c r="J74" t="str">
        <x:v>improved</x:v>
      </x:c>
      <x:c r="K74" t="n">
        <x:v>1</x:v>
      </x:c>
      <x:c r="L74" t="n">
        <x:v>3</x:v>
      </x:c>
      <x:c r="M74" t="n">
        <x:v>1</x:v>
      </x:c>
      <x:c r="N74" t="n">
        <x:v>1</x:v>
      </x:c>
    </x:row>
    <x:row r="75">
      <x:c r="A75" t="str">
        <x:v>a1_new_minus_old</x:v>
      </x:c>
      <x:c r="B75" t="str">
        <x:v>self_contained</x:v>
      </x:c>
      <x:c r="C75" t="str">
        <x:f>"qid:2469112227919120438"</x:f>
        <x:v>qid:2469112227919120438</x:v>
      </x:c>
      <x:c r="D75" s="14" t="str">
        <x:v>The creation of the senate was based on the?</x:v>
      </x:c>
      <x:c r="E75" t="str">
        <x:v>old</x:v>
      </x:c>
      <x:c r="F75" t="str">
        <x:v>new</x:v>
      </x:c>
      <x:c r="G75" s="34" t="n">
        <x:v>0.25</x:v>
      </x:c>
      <x:c r="H75" s="34" t="n">
        <x:v>1</x:v>
      </x:c>
      <x:c r="I75" s="34" t="n">
        <x:v>0.75</x:v>
      </x:c>
      <x:c r="J75" t="str">
        <x:v>improved</x:v>
      </x:c>
      <x:c r="K75" t="n">
        <x:v>1</x:v>
      </x:c>
      <x:c r="L75" t="n">
        <x:v>4</x:v>
      </x:c>
      <x:c r="M75" t="n">
        <x:v>1</x:v>
      </x:c>
      <x:c r="N75" t="n">
        <x:v>1</x:v>
      </x:c>
    </x:row>
    <x:row r="76">
      <x:c r="A76" t="str">
        <x:v>a1_new_minus_old</x:v>
      </x:c>
      <x:c r="B76" t="str">
        <x:v>self_contained</x:v>
      </x:c>
      <x:c r="C76" t="str">
        <x:f>"qid:3605104154738105404"</x:f>
        <x:v>qid:3605104154738105404</x:v>
      </x:c>
      <x:c r="D76" s="14" t="str">
        <x:v>What episode does jason gideon die in criminal minds?</x:v>
      </x:c>
      <x:c r="E76" t="str">
        <x:v>old</x:v>
      </x:c>
      <x:c r="F76" t="str">
        <x:v>new</x:v>
      </x:c>
      <x:c r="G76" s="34" t="n">
        <x:v>1</x:v>
      </x:c>
      <x:c r="H76" s="34" t="n">
        <x:v>1</x:v>
      </x:c>
      <x:c r="I76" s="34" t="n">
        <x:v>0</x:v>
      </x:c>
      <x:c r="J76" t="str">
        <x:v>unchanged</x:v>
      </x:c>
      <x:c r="K76" t="n">
        <x:v>1</x:v>
      </x:c>
      <x:c r="L76" t="n">
        <x:v>1</x:v>
      </x:c>
      <x:c r="M76" t="n">
        <x:v>1</x:v>
      </x:c>
      <x:c r="N76" t="n">
        <x:v>1</x:v>
      </x:c>
    </x:row>
    <x:row r="77">
      <x:c r="A77" t="str">
        <x:v>a1_new_minus_old</x:v>
      </x:c>
      <x:c r="B77" t="str">
        <x:v>self_contained</x:v>
      </x:c>
      <x:c r="C77" t="str">
        <x:f>"qid:3643093465010420057"</x:f>
        <x:v>qid:3643093465010420057</x:v>
      </x:c>
      <x:c r="D77" s="14" t="str">
        <x:v>What city in texas has the highest elevation?</x:v>
      </x:c>
      <x:c r="E77" t="str">
        <x:v>old</x:v>
      </x:c>
      <x:c r="F77" t="str">
        <x:v>new</x:v>
      </x:c>
      <x:c r="G77" s="34" t="n">
        <x:v>0</x:v>
      </x:c>
      <x:c r="H77" s="34" t="n">
        <x:v>0.5</x:v>
      </x:c>
      <x:c r="I77" s="34" t="n">
        <x:v>0.5</x:v>
      </x:c>
      <x:c r="J77" t="str">
        <x:v>improved</x:v>
      </x:c>
      <x:c r="K77" t="n">
        <x:v>0</x:v>
      </x:c>
      <x:c r="L77" t="n">
        <x:v>1</x:v>
      </x:c>
      <x:c r="M77" t="n">
        <x:v>1</x:v>
      </x:c>
      <x:c r="N77" t="n">
        <x:v>2</x:v>
      </x:c>
    </x:row>
    <x:row r="78">
      <x:c r="A78" t="str">
        <x:v>a1_new_minus_old</x:v>
      </x:c>
      <x:c r="B78" t="str">
        <x:v>self_contained</x:v>
      </x:c>
      <x:c r="C78" t="str">
        <x:f>"qid:4150448921344430432"</x:f>
        <x:v>qid:4150448921344430432</x:v>
      </x:c>
      <x:c r="D78" s="14" t="str">
        <x:v>Who were the original twins in everybody loves raymond?</x:v>
      </x:c>
      <x:c r="E78" t="str">
        <x:v>old</x:v>
      </x:c>
      <x:c r="F78" t="str">
        <x:v>new</x:v>
      </x:c>
      <x:c r="G78" s="34" t="n">
        <x:v>0.3333333333333333</x:v>
      </x:c>
      <x:c r="H78" s="34" t="n">
        <x:v>1</x:v>
      </x:c>
      <x:c r="I78" s="34" t="n">
        <x:v>0.6666666666666667</x:v>
      </x:c>
      <x:c r="J78" t="str">
        <x:v>improved</x:v>
      </x:c>
      <x:c r="K78" t="n">
        <x:v>1</x:v>
      </x:c>
      <x:c r="L78" t="n">
        <x:v>3</x:v>
      </x:c>
      <x:c r="M78" t="n">
        <x:v>1</x:v>
      </x:c>
      <x:c r="N78" t="n">
        <x:v>1</x:v>
      </x:c>
    </x:row>
    <x:row r="79">
      <x:c r="A79" t="str">
        <x:v>a1_new_minus_old</x:v>
      </x:c>
      <x:c r="B79" t="str">
        <x:v>self_contained</x:v>
      </x:c>
      <x:c r="C79" t="str">
        <x:f>"qid:4183252176965080529"</x:f>
        <x:v>qid:4183252176965080529</x:v>
      </x:c>
      <x:c r="D79" s="14" t="str">
        <x:v>When does the new independence day come out?</x:v>
      </x:c>
      <x:c r="E79" t="str">
        <x:v>old</x:v>
      </x:c>
      <x:c r="F79" t="str">
        <x:v>new</x:v>
      </x:c>
      <x:c r="G79" s="34" t="n">
        <x:v>0.3333333333333333</x:v>
      </x:c>
      <x:c r="H79" s="34" t="n">
        <x:v>1</x:v>
      </x:c>
      <x:c r="I79" s="34" t="n">
        <x:v>0.6666666666666667</x:v>
      </x:c>
      <x:c r="J79" t="str">
        <x:v>improved</x:v>
      </x:c>
      <x:c r="K79" t="n">
        <x:v>1</x:v>
      </x:c>
      <x:c r="L79" t="n">
        <x:v>3</x:v>
      </x:c>
      <x:c r="M79" t="n">
        <x:v>1</x:v>
      </x:c>
      <x:c r="N79" t="n">
        <x:v>1</x:v>
      </x:c>
    </x:row>
    <x:row r="80">
      <x:c r="A80" t="str">
        <x:v>a1_new_minus_old</x:v>
      </x:c>
      <x:c r="B80" t="str">
        <x:v>self_contained</x:v>
      </x:c>
      <x:c r="C80" t="str">
        <x:f>"qid:4474597907223412132"</x:f>
        <x:v>qid:4474597907223412132</x:v>
      </x:c>
      <x:c r="D80" s="14" t="str">
        <x:v>Who were the two astronauts who stayed a year on the iss?</x:v>
      </x:c>
      <x:c r="E80" t="str">
        <x:v>old</x:v>
      </x:c>
      <x:c r="F80" t="str">
        <x:v>new</x:v>
      </x:c>
      <x:c r="G80" s="34" t="n">
        <x:v>0.5</x:v>
      </x:c>
      <x:c r="H80" s="34" t="n">
        <x:v>1</x:v>
      </x:c>
      <x:c r="I80" s="34" t="n">
        <x:v>0.5</x:v>
      </x:c>
      <x:c r="J80" t="str">
        <x:v>improved</x:v>
      </x:c>
      <x:c r="K80" t="n">
        <x:v>1</x:v>
      </x:c>
      <x:c r="L80" t="n">
        <x:v>2</x:v>
      </x:c>
      <x:c r="M80" t="n">
        <x:v>1</x:v>
      </x:c>
      <x:c r="N80" t="n">
        <x:v>1</x:v>
      </x:c>
    </x:row>
    <x:row r="81">
      <x:c r="A81" t="str">
        <x:v>a1_new_minus_old</x:v>
      </x:c>
      <x:c r="B81" t="str">
        <x:v>self_contained</x:v>
      </x:c>
      <x:c r="C81" t="str">
        <x:f>"qid:586233275728240023"</x:f>
        <x:v>qid:586233275728240023</x:v>
      </x:c>
      <x:c r="D81" s="14" t="str">
        <x:v>What is the os of samsung smart tv?</x:v>
      </x:c>
      <x:c r="E81" t="str">
        <x:v>old</x:v>
      </x:c>
      <x:c r="F81" t="str">
        <x:v>new</x:v>
      </x:c>
      <x:c r="G81" s="34" t="n">
        <x:v>1</x:v>
      </x:c>
      <x:c r="H81" s="34" t="n">
        <x:v>1</x:v>
      </x:c>
      <x:c r="I81" s="34" t="n">
        <x:v>0</x:v>
      </x:c>
      <x:c r="J81" t="str">
        <x:v>unchanged</x:v>
      </x:c>
      <x:c r="K81" t="n">
        <x:v>1</x:v>
      </x:c>
      <x:c r="L81" t="n">
        <x:v>1</x:v>
      </x:c>
      <x:c r="M81" t="n">
        <x:v>1</x:v>
      </x:c>
      <x:c r="N81" t="n">
        <x:v>1</x:v>
      </x:c>
    </x:row>
    <x:row r="82">
      <x:c r="A82" t="str">
        <x:v>a1_new_minus_old</x:v>
      </x:c>
      <x:c r="B82" t="str">
        <x:v>self_contained</x:v>
      </x:c>
      <x:c r="C82" t="str">
        <x:f>"qid:6257465985316109835"</x:f>
        <x:v>qid:6257465985316109835</x:v>
      </x:c>
      <x:c r="D82" s="14" t="str">
        <x:v>Who is the main character in liv and maddie?</x:v>
      </x:c>
      <x:c r="E82" t="str">
        <x:v>old</x:v>
      </x:c>
      <x:c r="F82" t="str">
        <x:v>new</x:v>
      </x:c>
      <x:c r="G82" s="34" t="n">
        <x:v>1</x:v>
      </x:c>
      <x:c r="H82" s="34" t="n">
        <x:v>1</x:v>
      </x:c>
      <x:c r="I82" s="34" t="n">
        <x:v>0</x:v>
      </x:c>
      <x:c r="J82" t="str">
        <x:v>unchanged</x:v>
      </x:c>
      <x:c r="K82" t="n">
        <x:v>1</x:v>
      </x:c>
      <x:c r="L82" t="n">
        <x:v>1</x:v>
      </x:c>
      <x:c r="M82" t="n">
        <x:v>1</x:v>
      </x:c>
      <x:c r="N82" t="n">
        <x:v>1</x:v>
      </x:c>
    </x:row>
    <x:row r="83">
      <x:c r="A83" t="str">
        <x:v>a1_new_minus_old</x:v>
      </x:c>
      <x:c r="B83" t="str">
        <x:v>self_contained</x:v>
      </x:c>
      <x:c r="C83" t="str">
        <x:f>"qid:6514531923811923780"</x:f>
        <x:v>qid:6514531923811923780</x:v>
      </x:c>
      <x:c r="D83" s="14" t="str">
        <x:v>When does disney's food and wine festival end?</x:v>
      </x:c>
      <x:c r="E83" t="str">
        <x:v>old</x:v>
      </x:c>
      <x:c r="F83" t="str">
        <x:v>new</x:v>
      </x:c>
      <x:c r="G83" s="34" t="n">
        <x:v>0.5</x:v>
      </x:c>
      <x:c r="H83" s="34" t="n">
        <x:v>1</x:v>
      </x:c>
      <x:c r="I83" s="34" t="n">
        <x:v>0.5</x:v>
      </x:c>
      <x:c r="J83" t="str">
        <x:v>improved</x:v>
      </x:c>
      <x:c r="K83" t="n">
        <x:v>1</x:v>
      </x:c>
      <x:c r="L83" t="n">
        <x:v>2</x:v>
      </x:c>
      <x:c r="M83" t="n">
        <x:v>1</x:v>
      </x:c>
      <x:c r="N83" t="n">
        <x:v>1</x:v>
      </x:c>
    </x:row>
    <x:row r="84">
      <x:c r="A84" t="str">
        <x:v>a1_new_minus_old</x:v>
      </x:c>
      <x:c r="B84" t="str">
        <x:v>self_contained</x:v>
      </x:c>
      <x:c r="C84" t="str">
        <x:f>"qid:6619094979746662600"</x:f>
        <x:v>qid:6619094979746662600</x:v>
      </x:c>
      <x:c r="D84" s="14" t="str">
        <x:v>Who wrote brown eyes by destiny's child?</x:v>
      </x:c>
      <x:c r="E84" t="str">
        <x:v>old</x:v>
      </x:c>
      <x:c r="F84" t="str">
        <x:v>new</x:v>
      </x:c>
      <x:c r="G84" s="34" t="n">
        <x:v>0</x:v>
      </x:c>
      <x:c r="H84" s="34" t="n">
        <x:v>0</x:v>
      </x:c>
      <x:c r="I84" s="34" t="n">
        <x:v>0</x:v>
      </x:c>
      <x:c r="J84" t="str">
        <x:v>unchanged</x:v>
      </x:c>
      <x:c r="K84" t="n">
        <x:v>0</x:v>
      </x:c>
      <x:c r="L84" t="n">
        <x:v>3</x:v>
      </x:c>
      <x:c r="M84" t="n">
        <x:v>0</x:v>
      </x:c>
      <x:c r="N84" t="n">
        <x:v>2</x:v>
      </x:c>
    </x:row>
    <x:row r="85">
      <x:c r="A85" t="str">
        <x:v>a1_new_minus_old</x:v>
      </x:c>
      <x:c r="B85" t="str">
        <x:v>self_contained</x:v>
      </x:c>
      <x:c r="C85" t="str">
        <x:f>"qid:6776234528515962047"</x:f>
        <x:v>qid:6776234528515962047</x:v>
      </x:c>
      <x:c r="D85" s="14" t="str">
        <x:v>Who is the most run in cricket history?</x:v>
      </x:c>
      <x:c r="E85" t="str">
        <x:v>old</x:v>
      </x:c>
      <x:c r="F85" t="str">
        <x:v>new</x:v>
      </x:c>
      <x:c r="G85" s="34" t="n">
        <x:v>0</x:v>
      </x:c>
      <x:c r="H85" s="34" t="n">
        <x:v>0</x:v>
      </x:c>
      <x:c r="I85" s="34" t="n">
        <x:v>0</x:v>
      </x:c>
      <x:c r="J85" t="str">
        <x:v>unchanged</x:v>
      </x:c>
      <x:c r="K85" t="n">
        <x:v>0</x:v>
      </x:c>
      <x:c r="L85" t="n">
        <x:v>3</x:v>
      </x:c>
      <x:c r="M85" t="n">
        <x:v>0</x:v>
      </x:c>
      <x:c r="N85" t="n">
        <x:v>2</x:v>
      </x:c>
    </x:row>
    <x:row r="86">
      <x:c r="A86" t="str">
        <x:v>a1_new_minus_old</x:v>
      </x:c>
      <x:c r="B86" t="str">
        <x:v>self_contained</x:v>
      </x:c>
      <x:c r="C86" t="str">
        <x:f>"qid:6962706727076805207"</x:f>
        <x:v>qid:6962706727076805207</x:v>
      </x:c>
      <x:c r="D86" s="14" t="str">
        <x:v>What kind of car in to catch a thief?</x:v>
      </x:c>
      <x:c r="E86" t="str">
        <x:v>old</x:v>
      </x:c>
      <x:c r="F86" t="str">
        <x:v>new</x:v>
      </x:c>
      <x:c r="G86" s="34" t="n">
        <x:v>0.25</x:v>
      </x:c>
      <x:c r="H86" s="34" t="n">
        <x:v>1</x:v>
      </x:c>
      <x:c r="I86" s="34" t="n">
        <x:v>0.75</x:v>
      </x:c>
      <x:c r="J86" t="str">
        <x:v>improved</x:v>
      </x:c>
      <x:c r="K86" t="n">
        <x:v>1</x:v>
      </x:c>
      <x:c r="L86" t="n">
        <x:v>4</x:v>
      </x:c>
      <x:c r="M86" t="n">
        <x:v>1</x:v>
      </x:c>
      <x:c r="N86" t="n">
        <x:v>1</x:v>
      </x:c>
    </x:row>
    <x:row r="87">
      <x:c r="A87" t="str">
        <x:v>a1_new_minus_old</x:v>
      </x:c>
      <x:c r="B87" t="str">
        <x:v>self_contained</x:v>
      </x:c>
      <x:c r="C87" t="str">
        <x:f>"qid:7150599999316106461"</x:f>
        <x:v>qid:7150599999316106461</x:v>
      </x:c>
      <x:c r="D87" s="14" t="str">
        <x:v>Who was the first singing brothers in the hall of fame?</x:v>
      </x:c>
      <x:c r="E87" t="str">
        <x:v>old</x:v>
      </x:c>
      <x:c r="F87" t="str">
        <x:v>new</x:v>
      </x:c>
      <x:c r="G87" s="34" t="n">
        <x:v>0.3333333333333333</x:v>
      </x:c>
      <x:c r="H87" s="34" t="n">
        <x:v>1</x:v>
      </x:c>
      <x:c r="I87" s="34" t="n">
        <x:v>0.6666666666666667</x:v>
      </x:c>
      <x:c r="J87" t="str">
        <x:v>improved</x:v>
      </x:c>
      <x:c r="K87" t="n">
        <x:v>1</x:v>
      </x:c>
      <x:c r="L87" t="n">
        <x:v>3</x:v>
      </x:c>
      <x:c r="M87" t="n">
        <x:v>1</x:v>
      </x:c>
      <x:c r="N87" t="n">
        <x:v>1</x:v>
      </x:c>
    </x:row>
    <x:row r="88">
      <x:c r="A88" t="str">
        <x:v>a1_new_minus_old</x:v>
      </x:c>
      <x:c r="B88" t="str">
        <x:v>self_contained</x:v>
      </x:c>
      <x:c r="C88" t="str">
        <x:f>"qid:732619765350082410"</x:f>
        <x:v>qid:732619765350082410</x:v>
      </x:c>
      <x:c r="D88" s="14" t="str">
        <x:v>When did toronto host the mlb all-star game?</x:v>
      </x:c>
      <x:c r="E88" t="str">
        <x:v>old</x:v>
      </x:c>
      <x:c r="F88" t="str">
        <x:v>new</x:v>
      </x:c>
      <x:c r="G88" s="34" t="n">
        <x:v>0.5</x:v>
      </x:c>
      <x:c r="H88" s="34" t="n">
        <x:v>1</x:v>
      </x:c>
      <x:c r="I88" s="34" t="n">
        <x:v>0.5</x:v>
      </x:c>
      <x:c r="J88" t="str">
        <x:v>improved</x:v>
      </x:c>
      <x:c r="K88" t="n">
        <x:v>1</x:v>
      </x:c>
      <x:c r="L88" t="n">
        <x:v>2</x:v>
      </x:c>
      <x:c r="M88" t="n">
        <x:v>1</x:v>
      </x:c>
      <x:c r="N88" t="n">
        <x:v>1</x:v>
      </x:c>
    </x:row>
    <x:row r="89">
      <x:c r="A89" t="str">
        <x:v>a1_new_minus_old</x:v>
      </x:c>
      <x:c r="B89" t="str">
        <x:v>self_contained</x:v>
      </x:c>
      <x:c r="C89" t="str">
        <x:f>"qid:743600309736467122"</x:f>
        <x:v>qid:743600309736467122</x:v>
      </x:c>
      <x:c r="D89" s="14" t="str">
        <x:v>When was on the revolutions of the heavenly spheres published?</x:v>
      </x:c>
      <x:c r="E89" t="str">
        <x:v>old</x:v>
      </x:c>
      <x:c r="F89" t="str">
        <x:v>new</x:v>
      </x:c>
      <x:c r="G89" s="34" t="n">
        <x:v>1</x:v>
      </x:c>
      <x:c r="H89" s="34" t="n">
        <x:v>1</x:v>
      </x:c>
      <x:c r="I89" s="34" t="n">
        <x:v>0</x:v>
      </x:c>
      <x:c r="J89" t="str">
        <x:v>unchanged</x:v>
      </x:c>
      <x:c r="K89" t="n">
        <x:v>1</x:v>
      </x:c>
      <x:c r="L89" t="n">
        <x:v>1</x:v>
      </x:c>
      <x:c r="M89" t="n">
        <x:v>1</x:v>
      </x:c>
      <x:c r="N89" t="n">
        <x:v>1</x:v>
      </x:c>
    </x:row>
    <x:row r="90">
      <x:c r="A90" t="str">
        <x:v>a1_new_minus_old</x:v>
      </x:c>
      <x:c r="B90" t="str">
        <x:v>self_contained</x:v>
      </x:c>
      <x:c r="C90" t="str">
        <x:f>"qid:7494804303418493420"</x:f>
        <x:v>qid:7494804303418493420</x:v>
      </x:c>
      <x:c r="D90" s="14" t="str">
        <x:v>Movie with the song sunshine on my shoulders?</x:v>
      </x:c>
      <x:c r="E90" t="str">
        <x:v>old</x:v>
      </x:c>
      <x:c r="F90" t="str">
        <x:v>new</x:v>
      </x:c>
      <x:c r="G90" s="34" t="n">
        <x:v>0.5</x:v>
      </x:c>
      <x:c r="H90" s="34" t="n">
        <x:v>1</x:v>
      </x:c>
      <x:c r="I90" s="34" t="n">
        <x:v>0.5</x:v>
      </x:c>
      <x:c r="J90" t="str">
        <x:v>improved</x:v>
      </x:c>
      <x:c r="K90" t="n">
        <x:v>1</x:v>
      </x:c>
      <x:c r="L90" t="n">
        <x:v>2</x:v>
      </x:c>
      <x:c r="M90" t="n">
        <x:v>1</x:v>
      </x:c>
      <x:c r="N90" t="n">
        <x:v>1</x:v>
      </x:c>
    </x:row>
    <x:row r="91">
      <x:c r="A91" t="str">
        <x:v>a1_new_minus_old</x:v>
      </x:c>
      <x:c r="B91" t="str">
        <x:v>self_contained</x:v>
      </x:c>
      <x:c r="C91" t="str">
        <x:f>"qid:7797208395147217894"</x:f>
        <x:v>qid:7797208395147217894</x:v>
      </x:c>
      <x:c r="D91" s="14" t="str">
        <x:v>When did west germany win the world cup?</x:v>
      </x:c>
      <x:c r="E91" t="str">
        <x:v>old</x:v>
      </x:c>
      <x:c r="F91" t="str">
        <x:v>new</x:v>
      </x:c>
      <x:c r="G91" s="34" t="n">
        <x:v>0.6666666666666666</x:v>
      </x:c>
      <x:c r="H91" s="34" t="n">
        <x:v>0.5</x:v>
      </x:c>
      <x:c r="I91" s="34" t="n">
        <x:v>-0.16666666666666663</x:v>
      </x:c>
      <x:c r="J91" t="str">
        <x:v>regressed</x:v>
      </x:c>
      <x:c r="K91" t="n">
        <x:v>2</x:v>
      </x:c>
      <x:c r="L91" t="n">
        <x:v>3</x:v>
      </x:c>
      <x:c r="M91" t="n">
        <x:v>1</x:v>
      </x:c>
      <x:c r="N91" t="n">
        <x:v>2</x:v>
      </x:c>
    </x:row>
    <x:row r="92">
      <x:c r="A92" t="str">
        <x:v>a1_new_minus_old</x:v>
      </x:c>
      <x:c r="B92" t="str">
        <x:v>self_contained</x:v>
      </x:c>
      <x:c r="C92" t="str">
        <x:f>"qid:8433533625736230886"</x:f>
        <x:v>qid:8433533625736230886</x:v>
      </x:c>
      <x:c r="D92" s="14" t="str">
        <x:v>Who has won the most trophies man utd or liverpool?</x:v>
      </x:c>
      <x:c r="E92" t="str">
        <x:v>old</x:v>
      </x:c>
      <x:c r="F92" t="str">
        <x:v>new</x:v>
      </x:c>
      <x:c r="G92" s="34" t="n">
        <x:v>1</x:v>
      </x:c>
      <x:c r="H92" s="34" t="n">
        <x:v>1</x:v>
      </x:c>
      <x:c r="I92" s="34" t="n">
        <x:v>0</x:v>
      </x:c>
      <x:c r="J92" t="str">
        <x:v>unchanged</x:v>
      </x:c>
      <x:c r="K92" t="n">
        <x:v>1</x:v>
      </x:c>
      <x:c r="L92" t="n">
        <x:v>1</x:v>
      </x:c>
      <x:c r="M92" t="n">
        <x:v>1</x:v>
      </x:c>
      <x:c r="N92" t="n">
        <x:v>1</x:v>
      </x:c>
    </x:row>
    <x:row r="93">
      <x:c r="A93" t="str">
        <x:v>a1_new_minus_old</x:v>
      </x:c>
      <x:c r="B93" t="str">
        <x:v>self_contained</x:v>
      </x:c>
      <x:c r="C93" t="str">
        <x:f>"qid:8686216144939155905"</x:f>
        <x:v>qid:8686216144939155905</x:v>
      </x:c>
      <x:c r="D93" s="14" t="str">
        <x:v>What is the name of the time zone for london?</x:v>
      </x:c>
      <x:c r="E93" t="str">
        <x:v>old</x:v>
      </x:c>
      <x:c r="F93" t="str">
        <x:v>new</x:v>
      </x:c>
      <x:c r="G93" s="34" t="n">
        <x:v>1</x:v>
      </x:c>
      <x:c r="H93" s="34" t="n">
        <x:v>1</x:v>
      </x:c>
      <x:c r="I93" s="34" t="n">
        <x:v>0</x:v>
      </x:c>
      <x:c r="J93" t="str">
        <x:v>unchanged</x:v>
      </x:c>
      <x:c r="K93" t="n">
        <x:v>1</x:v>
      </x:c>
      <x:c r="L93" t="n">
        <x:v>1</x:v>
      </x:c>
      <x:c r="M93" t="n">
        <x:v>1</x:v>
      </x:c>
      <x:c r="N93" t="n">
        <x:v>1</x:v>
      </x:c>
    </x:row>
    <x:row r="94">
      <x:c r="A94" t="str">
        <x:v>a1_new_minus_old</x:v>
      </x:c>
      <x:c r="B94" t="str">
        <x:v>self_contained</x:v>
      </x:c>
      <x:c r="C94" t="str">
        <x:f>"qid:87005427005915954"</x:f>
        <x:v>qid:87005427005915954</x:v>
      </x:c>
      <x:c r="D94" s="14" t="str">
        <x:v>When was the last time galway won the hurling all ireland?</x:v>
      </x:c>
      <x:c r="E94" t="str">
        <x:v>old</x:v>
      </x:c>
      <x:c r="F94" t="str">
        <x:v>new</x:v>
      </x:c>
      <x:c r="G94" s="34" t="n">
        <x:v>1</x:v>
      </x:c>
      <x:c r="H94" s="34" t="n">
        <x:v>1</x:v>
      </x:c>
      <x:c r="I94" s="34" t="n">
        <x:v>0</x:v>
      </x:c>
      <x:c r="J94" t="str">
        <x:v>unchanged</x:v>
      </x:c>
      <x:c r="K94" t="n">
        <x:v>1</x:v>
      </x:c>
      <x:c r="L94" t="n">
        <x:v>1</x:v>
      </x:c>
      <x:c r="M94" t="n">
        <x:v>1</x:v>
      </x:c>
      <x:c r="N94" t="n">
        <x:v>1</x:v>
      </x:c>
    </x:row>
    <x:row r="95">
      <x:c r="A95" t="str">
        <x:v>a1_new_minus_old</x:v>
      </x:c>
      <x:c r="B95" t="str">
        <x:v>verifiable</x:v>
      </x:c>
      <x:c r="C95" t="str">
        <x:f>"qid:-1062522255440685408"</x:f>
        <x:v>qid:-1062522255440685408</x:v>
      </x:c>
      <x:c r="D95" s="14" t="str">
        <x:v>When did the first generation kindle fire come out?</x:v>
      </x:c>
      <x:c r="E95" t="str">
        <x:v>old</x:v>
      </x:c>
      <x:c r="F95" t="str">
        <x:v>new</x:v>
      </x:c>
      <x:c r="G95" s="34" t="n">
        <x:v>1</x:v>
      </x:c>
      <x:c r="H95" s="34" t="n">
        <x:v>1</x:v>
      </x:c>
      <x:c r="I95" s="34" t="n">
        <x:v>0</x:v>
      </x:c>
      <x:c r="J95" t="str">
        <x:v>unchanged</x:v>
      </x:c>
      <x:c r="K95" t="n">
        <x:v>1</x:v>
      </x:c>
      <x:c r="L95" t="n">
        <x:v>1</x:v>
      </x:c>
      <x:c r="M95" t="n">
        <x:v>1</x:v>
      </x:c>
      <x:c r="N95" t="n">
        <x:v>1</x:v>
      </x:c>
    </x:row>
    <x:row r="96">
      <x:c r="A96" t="str">
        <x:v>a1_new_minus_old</x:v>
      </x:c>
      <x:c r="B96" t="str">
        <x:v>verifiable</x:v>
      </x:c>
      <x:c r="C96" t="str">
        <x:f>"qid:-1859261645300630518"</x:f>
        <x:v>qid:-1859261645300630518</x:v>
      </x:c>
      <x:c r="D96" s="14" t="str">
        <x:v>When does steve come back in shameless season 5?</x:v>
      </x:c>
      <x:c r="E96" t="str">
        <x:v>old</x:v>
      </x:c>
      <x:c r="F96" t="str">
        <x:v>new</x:v>
      </x:c>
      <x:c r="G96" s="34" t="n">
        <x:v>0</x:v>
      </x:c>
      <x:c r="H96" s="34" t="n">
        <x:v>1</x:v>
      </x:c>
      <x:c r="I96" s="34" t="n">
        <x:v>1</x:v>
      </x:c>
      <x:c r="J96" t="str">
        <x:v>improved</x:v>
      </x:c>
      <x:c r="K96" t="n">
        <x:v>0</x:v>
      </x:c>
      <x:c r="L96" t="n">
        <x:v>2</x:v>
      </x:c>
      <x:c r="M96" t="n">
        <x:v>1</x:v>
      </x:c>
      <x:c r="N96" t="n">
        <x:v>1</x:v>
      </x:c>
    </x:row>
    <x:row r="97">
      <x:c r="A97" t="str">
        <x:v>a1_new_minus_old</x:v>
      </x:c>
      <x:c r="B97" t="str">
        <x:v>verifiable</x:v>
      </x:c>
      <x:c r="C97" t="str">
        <x:f>"qid:-2585133819352441604"</x:f>
        <x:v>qid:-2585133819352441604</x:v>
      </x:c>
      <x:c r="D97" s="14" t="str">
        <x:v>Name of first episode of this is us?</x:v>
      </x:c>
      <x:c r="E97" t="str">
        <x:v>old</x:v>
      </x:c>
      <x:c r="F97" t="str">
        <x:v>new</x:v>
      </x:c>
      <x:c r="G97" s="34" t="n">
        <x:v>0.5</x:v>
      </x:c>
      <x:c r="H97" s="34" t="n">
        <x:v>1</x:v>
      </x:c>
      <x:c r="I97" s="34" t="n">
        <x:v>0.5</x:v>
      </x:c>
      <x:c r="J97" t="str">
        <x:v>improved</x:v>
      </x:c>
      <x:c r="K97" t="n">
        <x:v>1</x:v>
      </x:c>
      <x:c r="L97" t="n">
        <x:v>2</x:v>
      </x:c>
      <x:c r="M97" t="n">
        <x:v>1</x:v>
      </x:c>
      <x:c r="N97" t="n">
        <x:v>1</x:v>
      </x:c>
    </x:row>
    <x:row r="98">
      <x:c r="A98" t="str">
        <x:v>a1_new_minus_old</x:v>
      </x:c>
      <x:c r="B98" t="str">
        <x:v>verifiable</x:v>
      </x:c>
      <x:c r="C98" t="str">
        <x:f>"qid:-3228483207040151533"</x:f>
        <x:v>qid:-3228483207040151533</x:v>
      </x:c>
      <x:c r="D98" s="14" t="str">
        <x:v>What bodies of water surround cabo san lucas?</x:v>
      </x:c>
      <x:c r="E98" t="str">
        <x:v>old</x:v>
      </x:c>
      <x:c r="F98" t="str">
        <x:v>new</x:v>
      </x:c>
      <x:c r="G98" s="34" t="n">
        <x:v>0.5</x:v>
      </x:c>
      <x:c r="H98" s="34" t="n">
        <x:v>0.5</x:v>
      </x:c>
      <x:c r="I98" s="34" t="n">
        <x:v>0</x:v>
      </x:c>
      <x:c r="J98" t="str">
        <x:v>unchanged</x:v>
      </x:c>
      <x:c r="K98" t="n">
        <x:v>1</x:v>
      </x:c>
      <x:c r="L98" t="n">
        <x:v>2</x:v>
      </x:c>
      <x:c r="M98" t="n">
        <x:v>1</x:v>
      </x:c>
      <x:c r="N98" t="n">
        <x:v>2</x:v>
      </x:c>
    </x:row>
    <x:row r="99">
      <x:c r="A99" t="str">
        <x:v>a1_new_minus_old</x:v>
      </x:c>
      <x:c r="B99" t="str">
        <x:v>verifiable</x:v>
      </x:c>
      <x:c r="C99" t="str">
        <x:f>"qid:-3279585462082900736"</x:f>
        <x:v>qid:-3279585462082900736</x:v>
      </x:c>
      <x:c r="D99" s="14" t="str">
        <x:v>Who gets fired on grey's anatomy season 6?</x:v>
      </x:c>
      <x:c r="E99" t="str">
        <x:v>old</x:v>
      </x:c>
      <x:c r="F99" t="str">
        <x:v>new</x:v>
      </x:c>
      <x:c r="G99" s="34" t="n">
        <x:v>1</x:v>
      </x:c>
      <x:c r="H99" s="34" t="n">
        <x:v>1</x:v>
      </x:c>
      <x:c r="I99" s="34" t="n">
        <x:v>0</x:v>
      </x:c>
      <x:c r="J99" t="str">
        <x:v>unchanged</x:v>
      </x:c>
      <x:c r="K99" t="n">
        <x:v>1</x:v>
      </x:c>
      <x:c r="L99" t="n">
        <x:v>1</x:v>
      </x:c>
      <x:c r="M99" t="n">
        <x:v>1</x:v>
      </x:c>
      <x:c r="N99" t="n">
        <x:v>1</x:v>
      </x:c>
    </x:row>
    <x:row r="100">
      <x:c r="A100" t="str">
        <x:v>a1_new_minus_old</x:v>
      </x:c>
      <x:c r="B100" t="str">
        <x:v>verifiable</x:v>
      </x:c>
      <x:c r="C100" t="str">
        <x:f>"qid:-3344541168958463110"</x:f>
        <x:v>qid:-3344541168958463110</x:v>
      </x:c>
      <x:c r="D100" s="14" t="str">
        <x:v>Who fought with an angel in the bible?</x:v>
      </x:c>
      <x:c r="E100" t="str">
        <x:v>old</x:v>
      </x:c>
      <x:c r="F100" t="str">
        <x:v>new</x:v>
      </x:c>
      <x:c r="G100" s="34" t="n">
        <x:v>0.3333333333333333</x:v>
      </x:c>
      <x:c r="H100" s="34" t="n">
        <x:v>1</x:v>
      </x:c>
      <x:c r="I100" s="34" t="n">
        <x:v>0.6666666666666667</x:v>
      </x:c>
      <x:c r="J100" t="str">
        <x:v>improved</x:v>
      </x:c>
      <x:c r="K100" t="n">
        <x:v>1</x:v>
      </x:c>
      <x:c r="L100" t="n">
        <x:v>3</x:v>
      </x:c>
      <x:c r="M100" t="n">
        <x:v>1</x:v>
      </x:c>
      <x:c r="N100" t="n">
        <x:v>1</x:v>
      </x:c>
    </x:row>
    <x:row r="101">
      <x:c r="A101" t="str">
        <x:v>a1_new_minus_old</x:v>
      </x:c>
      <x:c r="B101" t="str">
        <x:v>verifiable</x:v>
      </x:c>
      <x:c r="C101" t="str">
        <x:f>"qid:-3904805932335139116"</x:f>
        <x:v>qid:-3904805932335139116</x:v>
      </x:c>
      <x:c r="D101" s="14" t="str">
        <x:v>What was the daughter's name on the jetsons?</x:v>
      </x:c>
      <x:c r="E101" t="str">
        <x:v>old</x:v>
      </x:c>
      <x:c r="F101" t="str">
        <x:v>new</x:v>
      </x:c>
      <x:c r="G101" s="34" t="n">
        <x:v>0</x:v>
      </x:c>
      <x:c r="H101" s="34" t="n">
        <x:v>0</x:v>
      </x:c>
      <x:c r="I101" s="34" t="n">
        <x:v>0</x:v>
      </x:c>
      <x:c r="J101" t="str">
        <x:v>unchanged</x:v>
      </x:c>
      <x:c r="K101" t="n">
        <x:v>0</x:v>
      </x:c>
      <x:c r="L101" t="n">
        <x:v>1</x:v>
      </x:c>
      <x:c r="M101" t="n">
        <x:v>0</x:v>
      </x:c>
      <x:c r="N101" t="n">
        <x:v>1</x:v>
      </x:c>
    </x:row>
    <x:row r="102">
      <x:c r="A102" t="str">
        <x:v>a1_new_minus_old</x:v>
      </x:c>
      <x:c r="B102" t="str">
        <x:v>verifiable</x:v>
      </x:c>
      <x:c r="C102" t="str">
        <x:f>"qid:-4286108617234818000"</x:f>
        <x:v>qid:-4286108617234818000</x:v>
      </x:c>
      <x:c r="D102" s="14" t="str">
        <x:v>When does the new super troopers movie come out?</x:v>
      </x:c>
      <x:c r="E102" t="str">
        <x:v>old</x:v>
      </x:c>
      <x:c r="F102" t="str">
        <x:v>new</x:v>
      </x:c>
      <x:c r="G102" s="34" t="n">
        <x:v>1</x:v>
      </x:c>
      <x:c r="H102" s="34" t="n">
        <x:v>1</x:v>
      </x:c>
      <x:c r="I102" s="34" t="n">
        <x:v>0</x:v>
      </x:c>
      <x:c r="J102" t="str">
        <x:v>unchanged</x:v>
      </x:c>
      <x:c r="K102" t="n">
        <x:v>1</x:v>
      </x:c>
      <x:c r="L102" t="n">
        <x:v>1</x:v>
      </x:c>
      <x:c r="M102" t="n">
        <x:v>1</x:v>
      </x:c>
      <x:c r="N102" t="n">
        <x:v>1</x:v>
      </x:c>
    </x:row>
    <x:row r="103">
      <x:c r="A103" t="str">
        <x:v>a1_new_minus_old</x:v>
      </x:c>
      <x:c r="B103" t="str">
        <x:v>verifiable</x:v>
      </x:c>
      <x:c r="C103" t="str">
        <x:f>"qid:-4456614433280196572"</x:f>
        <x:v>qid:-4456614433280196572</x:v>
      </x:c>
      <x:c r="D103" s="14" t="str">
        <x:v>What season does meredith and derek get married in grey's anatomy?</x:v>
      </x:c>
      <x:c r="E103" t="str">
        <x:v>old</x:v>
      </x:c>
      <x:c r="F103" t="str">
        <x:v>new</x:v>
      </x:c>
      <x:c r="G103" s="34" t="n">
        <x:v>1</x:v>
      </x:c>
      <x:c r="H103" s="34" t="n">
        <x:v>1</x:v>
      </x:c>
      <x:c r="I103" s="34" t="n">
        <x:v>0</x:v>
      </x:c>
      <x:c r="J103" t="str">
        <x:v>unchanged</x:v>
      </x:c>
      <x:c r="K103" t="n">
        <x:v>1</x:v>
      </x:c>
      <x:c r="L103" t="n">
        <x:v>1</x:v>
      </x:c>
      <x:c r="M103" t="n">
        <x:v>1</x:v>
      </x:c>
      <x:c r="N103" t="n">
        <x:v>1</x:v>
      </x:c>
    </x:row>
    <x:row r="104">
      <x:c r="A104" t="str">
        <x:v>a1_new_minus_old</x:v>
      </x:c>
      <x:c r="B104" t="str">
        <x:v>verifiable</x:v>
      </x:c>
      <x:c r="C104" t="str">
        <x:f>"qid:-447198893588059167"</x:f>
        <x:v>qid:-447198893588059167</x:v>
      </x:c>
      <x:c r="D104" s="14" t="str">
        <x:v>Who played the father in leave it to beaver?</x:v>
      </x:c>
      <x:c r="E104" t="str">
        <x:v>old</x:v>
      </x:c>
      <x:c r="F104" t="str">
        <x:v>new</x:v>
      </x:c>
      <x:c r="G104" s="34" t="n">
        <x:v>0.5</x:v>
      </x:c>
      <x:c r="H104" s="34" t="n">
        <x:v>1</x:v>
      </x:c>
      <x:c r="I104" s="34" t="n">
        <x:v>0.5</x:v>
      </x:c>
      <x:c r="J104" t="str">
        <x:v>improved</x:v>
      </x:c>
      <x:c r="K104" t="n">
        <x:v>1</x:v>
      </x:c>
      <x:c r="L104" t="n">
        <x:v>2</x:v>
      </x:c>
      <x:c r="M104" t="n">
        <x:v>1</x:v>
      </x:c>
      <x:c r="N104" t="n">
        <x:v>1</x:v>
      </x:c>
    </x:row>
    <x:row r="105">
      <x:c r="A105" t="str">
        <x:v>a1_new_minus_old</x:v>
      </x:c>
      <x:c r="B105" t="str">
        <x:v>verifiable</x:v>
      </x:c>
      <x:c r="C105" t="str">
        <x:f>"qid:-4649654703638364295"</x:f>
        <x:v>qid:-4649654703638364295</x:v>
      </x:c>
      <x:c r="D105" s="14" t="str">
        <x:v>Who made it through the divisional finals world of dance?</x:v>
      </x:c>
      <x:c r="E105" t="str">
        <x:v>old</x:v>
      </x:c>
      <x:c r="F105" t="str">
        <x:v>new</x:v>
      </x:c>
      <x:c r="G105" s="34" t="n">
        <x:v>1</x:v>
      </x:c>
      <x:c r="H105" s="34" t="n">
        <x:v>1</x:v>
      </x:c>
      <x:c r="I105" s="34" t="n">
        <x:v>0</x:v>
      </x:c>
      <x:c r="J105" t="str">
        <x:v>unchanged</x:v>
      </x:c>
      <x:c r="K105" t="n">
        <x:v>1</x:v>
      </x:c>
      <x:c r="L105" t="n">
        <x:v>1</x:v>
      </x:c>
      <x:c r="M105" t="n">
        <x:v>1</x:v>
      </x:c>
      <x:c r="N105" t="n">
        <x:v>1</x:v>
      </x:c>
    </x:row>
    <x:row r="106">
      <x:c r="A106" t="str">
        <x:v>a1_new_minus_old</x:v>
      </x:c>
      <x:c r="B106" t="str">
        <x:v>verifiable</x:v>
      </x:c>
      <x:c r="C106" t="str">
        <x:f>"qid:-4873786835306543030"</x:f>
        <x:v>qid:-4873786835306543030</x:v>
      </x:c>
      <x:c r="D106" s="14" t="str">
        <x:v>Who is the chief minister of m. p?</x:v>
      </x:c>
      <x:c r="E106" t="str">
        <x:v>old</x:v>
      </x:c>
      <x:c r="F106" t="str">
        <x:v>new</x:v>
      </x:c>
      <x:c r="G106" s="34" t="n">
        <x:v>1</x:v>
      </x:c>
      <x:c r="H106" s="34" t="n">
        <x:v>1</x:v>
      </x:c>
      <x:c r="I106" s="34" t="n">
        <x:v>0</x:v>
      </x:c>
      <x:c r="J106" t="str">
        <x:v>unchanged</x:v>
      </x:c>
      <x:c r="K106" t="n">
        <x:v>1</x:v>
      </x:c>
      <x:c r="L106" t="n">
        <x:v>1</x:v>
      </x:c>
      <x:c r="M106" t="n">
        <x:v>1</x:v>
      </x:c>
      <x:c r="N106" t="n">
        <x:v>1</x:v>
      </x:c>
    </x:row>
    <x:row r="107">
      <x:c r="A107" t="str">
        <x:v>a1_new_minus_old</x:v>
      </x:c>
      <x:c r="B107" t="str">
        <x:v>verifiable</x:v>
      </x:c>
      <x:c r="C107" t="str">
        <x:f>"qid:-4995398567532229571"</x:f>
        <x:v>qid:-4995398567532229571</x:v>
      </x:c>
      <x:c r="D107" s="14" t="str">
        <x:v>When did ragtime flourished in the united states?</x:v>
      </x:c>
      <x:c r="E107" t="str">
        <x:v>old</x:v>
      </x:c>
      <x:c r="F107" t="str">
        <x:v>new</x:v>
      </x:c>
      <x:c r="G107" s="34" t="n">
        <x:v>0.6666666666666666</x:v>
      </x:c>
      <x:c r="H107" s="34" t="n">
        <x:v>1</x:v>
      </x:c>
      <x:c r="I107" s="34" t="n">
        <x:v>0.33333333333333337</x:v>
      </x:c>
      <x:c r="J107" t="str">
        <x:v>improved</x:v>
      </x:c>
      <x:c r="K107" t="n">
        <x:v>2</x:v>
      </x:c>
      <x:c r="L107" t="n">
        <x:v>3</x:v>
      </x:c>
      <x:c r="M107" t="n">
        <x:v>1</x:v>
      </x:c>
      <x:c r="N107" t="n">
        <x:v>1</x:v>
      </x:c>
    </x:row>
    <x:row r="108">
      <x:c r="A108" t="str">
        <x:v>a1_new_minus_old</x:v>
      </x:c>
      <x:c r="B108" t="str">
        <x:v>verifiable</x:v>
      </x:c>
      <x:c r="C108" t="str">
        <x:f>"qid:-5036947181661390825"</x:f>
        <x:v>qid:-5036947181661390825</x:v>
      </x:c>
      <x:c r="D108" s="14" t="str">
        <x:v>When was the vietnam veterans war memorial built?</x:v>
      </x:c>
      <x:c r="E108" t="str">
        <x:v>old</x:v>
      </x:c>
      <x:c r="F108" t="str">
        <x:v>new</x:v>
      </x:c>
      <x:c r="G108" s="34" t="n">
        <x:v>1</x:v>
      </x:c>
      <x:c r="H108" s="34" t="n">
        <x:v>1</x:v>
      </x:c>
      <x:c r="I108" s="34" t="n">
        <x:v>0</x:v>
      </x:c>
      <x:c r="J108" t="str">
        <x:v>unchanged</x:v>
      </x:c>
      <x:c r="K108" t="n">
        <x:v>1</x:v>
      </x:c>
      <x:c r="L108" t="n">
        <x:v>1</x:v>
      </x:c>
      <x:c r="M108" t="n">
        <x:v>1</x:v>
      </x:c>
      <x:c r="N108" t="n">
        <x:v>1</x:v>
      </x:c>
    </x:row>
    <x:row r="109">
      <x:c r="A109" t="str">
        <x:v>a1_new_minus_old</x:v>
      </x:c>
      <x:c r="B109" t="str">
        <x:v>verifiable</x:v>
      </x:c>
      <x:c r="C109" t="str">
        <x:f>"qid:-5116644172939113883"</x:f>
        <x:v>qid:-5116644172939113883</x:v>
      </x:c>
      <x:c r="D109" s="14" t="str">
        <x:v>Who raps in the gorillaz song clint eastwood?</x:v>
      </x:c>
      <x:c r="E109" t="str">
        <x:v>old</x:v>
      </x:c>
      <x:c r="F109" t="str">
        <x:v>new</x:v>
      </x:c>
      <x:c r="G109" s="34" t="n">
        <x:v>1</x:v>
      </x:c>
      <x:c r="H109" s="34" t="n">
        <x:v>1</x:v>
      </x:c>
      <x:c r="I109" s="34" t="n">
        <x:v>0</x:v>
      </x:c>
      <x:c r="J109" t="str">
        <x:v>unchanged</x:v>
      </x:c>
      <x:c r="K109" t="n">
        <x:v>1</x:v>
      </x:c>
      <x:c r="L109" t="n">
        <x:v>1</x:v>
      </x:c>
      <x:c r="M109" t="n">
        <x:v>1</x:v>
      </x:c>
      <x:c r="N109" t="n">
        <x:v>1</x:v>
      </x:c>
    </x:row>
    <x:row r="110">
      <x:c r="A110" t="str">
        <x:v>a1_new_minus_old</x:v>
      </x:c>
      <x:c r="B110" t="str">
        <x:v>verifiable</x:v>
      </x:c>
      <x:c r="C110" t="str">
        <x:f>"qid:-5333049627570569397"</x:f>
        <x:v>qid:-5333049627570569397</x:v>
      </x:c>
      <x:c r="D110" s="14" t="str">
        <x:v>When did the song can't touch this come out?</x:v>
      </x:c>
      <x:c r="E110" t="str">
        <x:v>old</x:v>
      </x:c>
      <x:c r="F110" t="str">
        <x:v>new</x:v>
      </x:c>
      <x:c r="G110" s="34" t="n">
        <x:v>1</x:v>
      </x:c>
      <x:c r="H110" s="34" t="n">
        <x:v>1</x:v>
      </x:c>
      <x:c r="I110" s="34" t="n">
        <x:v>0</x:v>
      </x:c>
      <x:c r="J110" t="str">
        <x:v>unchanged</x:v>
      </x:c>
      <x:c r="K110" t="n">
        <x:v>1</x:v>
      </x:c>
      <x:c r="L110" t="n">
        <x:v>1</x:v>
      </x:c>
      <x:c r="M110" t="n">
        <x:v>1</x:v>
      </x:c>
      <x:c r="N110" t="n">
        <x:v>1</x:v>
      </x:c>
    </x:row>
    <x:row r="111">
      <x:c r="A111" t="str">
        <x:v>a1_new_minus_old</x:v>
      </x:c>
      <x:c r="B111" t="str">
        <x:v>verifiable</x:v>
      </x:c>
      <x:c r="C111" t="str">
        <x:f>"qid:-5564120845047915486"</x:f>
        <x:v>qid:-5564120845047915486</x:v>
      </x:c>
      <x:c r="D111" s="14" t="str">
        <x:v>Where do you find a simple gear train?</x:v>
      </x:c>
      <x:c r="E111" t="str">
        <x:v>old</x:v>
      </x:c>
      <x:c r="F111" t="str">
        <x:v>new</x:v>
      </x:c>
      <x:c r="G111" s="34" t="n">
        <x:v>0.6666666666666666</x:v>
      </x:c>
      <x:c r="H111" s="34" t="n">
        <x:v>1</x:v>
      </x:c>
      <x:c r="I111" s="34" t="n">
        <x:v>0.33333333333333337</x:v>
      </x:c>
      <x:c r="J111" t="str">
        <x:v>improved</x:v>
      </x:c>
      <x:c r="K111" t="n">
        <x:v>2</x:v>
      </x:c>
      <x:c r="L111" t="n">
        <x:v>3</x:v>
      </x:c>
      <x:c r="M111" t="n">
        <x:v>1</x:v>
      </x:c>
      <x:c r="N111" t="n">
        <x:v>1</x:v>
      </x:c>
    </x:row>
    <x:row r="112">
      <x:c r="A112" t="str">
        <x:v>a1_new_minus_old</x:v>
      </x:c>
      <x:c r="B112" t="str">
        <x:v>verifiable</x:v>
      </x:c>
      <x:c r="C112" t="str">
        <x:f>"qid:-5842265707961388968"</x:f>
        <x:v>qid:-5842265707961388968</x:v>
      </x:c>
      <x:c r="D112" s="14" t="str">
        <x:v>Who beat villanova last year in the ncaa tournament?</x:v>
      </x:c>
      <x:c r="E112" t="str">
        <x:v>old</x:v>
      </x:c>
      <x:c r="F112" t="str">
        <x:v>new</x:v>
      </x:c>
      <x:c r="G112" s="34" t="n">
        <x:v>0.6</x:v>
      </x:c>
      <x:c r="H112" s="34" t="n">
        <x:v>1</x:v>
      </x:c>
      <x:c r="I112" s="34" t="n">
        <x:v>0.4</x:v>
      </x:c>
      <x:c r="J112" t="str">
        <x:v>improved</x:v>
      </x:c>
      <x:c r="K112" t="n">
        <x:v>3</x:v>
      </x:c>
      <x:c r="L112" t="n">
        <x:v>5</x:v>
      </x:c>
      <x:c r="M112" t="n">
        <x:v>1</x:v>
      </x:c>
      <x:c r="N112" t="n">
        <x:v>1</x:v>
      </x:c>
    </x:row>
    <x:row r="113">
      <x:c r="A113" t="str">
        <x:v>a1_new_minus_old</x:v>
      </x:c>
      <x:c r="B113" t="str">
        <x:v>verifiable</x:v>
      </x:c>
      <x:c r="C113" t="str">
        <x:f>"qid:-5942352520455511076"</x:f>
        <x:v>qid:-5942352520455511076</x:v>
      </x:c>
      <x:c r="D113" s="14" t="str">
        <x:v>Where can adipose tissue be found in the body?</x:v>
      </x:c>
      <x:c r="E113" t="str">
        <x:v>old</x:v>
      </x:c>
      <x:c r="F113" t="str">
        <x:v>new</x:v>
      </x:c>
      <x:c r="G113" s="34" t="n">
        <x:v>0.6666666666666666</x:v>
      </x:c>
      <x:c r="H113" s="34" t="n">
        <x:v>1</x:v>
      </x:c>
      <x:c r="I113" s="34" t="n">
        <x:v>0.33333333333333337</x:v>
      </x:c>
      <x:c r="J113" t="str">
        <x:v>improved</x:v>
      </x:c>
      <x:c r="K113" t="n">
        <x:v>2</x:v>
      </x:c>
      <x:c r="L113" t="n">
        <x:v>3</x:v>
      </x:c>
      <x:c r="M113" t="n">
        <x:v>1</x:v>
      </x:c>
      <x:c r="N113" t="n">
        <x:v>1</x:v>
      </x:c>
    </x:row>
    <x:row r="114">
      <x:c r="A114" t="str">
        <x:v>a1_new_minus_old</x:v>
      </x:c>
      <x:c r="B114" t="str">
        <x:v>verifiable</x:v>
      </x:c>
      <x:c r="C114" t="str">
        <x:f>"qid:-62521546794442829"</x:f>
        <x:v>qid:-62521546794442829</x:v>
      </x:c>
      <x:c r="D114" s="14" t="str">
        <x:v>For whom was the battle of king's mountain a victory?</x:v>
      </x:c>
      <x:c r="E114" t="str">
        <x:v>old</x:v>
      </x:c>
      <x:c r="F114" t="str">
        <x:v>new</x:v>
      </x:c>
      <x:c r="G114" s="34" t="n">
        <x:v>1</x:v>
      </x:c>
      <x:c r="H114" s="34" t="n">
        <x:v>1</x:v>
      </x:c>
      <x:c r="I114" s="34" t="n">
        <x:v>0</x:v>
      </x:c>
      <x:c r="J114" t="str">
        <x:v>unchanged</x:v>
      </x:c>
      <x:c r="K114" t="n">
        <x:v>1</x:v>
      </x:c>
      <x:c r="L114" t="n">
        <x:v>1</x:v>
      </x:c>
      <x:c r="M114" t="n">
        <x:v>1</x:v>
      </x:c>
      <x:c r="N114" t="n">
        <x:v>1</x:v>
      </x:c>
    </x:row>
    <x:row r="115">
      <x:c r="A115" t="str">
        <x:v>a1_new_minus_old</x:v>
      </x:c>
      <x:c r="B115" t="str">
        <x:v>verifiable</x:v>
      </x:c>
      <x:c r="C115" t="str">
        <x:f>"qid:-6702031255040326279"</x:f>
        <x:v>qid:-6702031255040326279</x:v>
      </x:c>
      <x:c r="D115" s="14" t="str">
        <x:v>Which of the animal is a carrier of h1n1?</x:v>
      </x:c>
      <x:c r="E115" t="str">
        <x:v>old</x:v>
      </x:c>
      <x:c r="F115" t="str">
        <x:v>new</x:v>
      </x:c>
      <x:c r="G115" s="34" t="n">
        <x:v>1</x:v>
      </x:c>
      <x:c r="H115" s="34" t="n">
        <x:v>1</x:v>
      </x:c>
      <x:c r="I115" s="34" t="n">
        <x:v>0</x:v>
      </x:c>
      <x:c r="J115" t="str">
        <x:v>unchanged</x:v>
      </x:c>
      <x:c r="K115" t="n">
        <x:v>2</x:v>
      </x:c>
      <x:c r="L115" t="n">
        <x:v>2</x:v>
      </x:c>
      <x:c r="M115" t="n">
        <x:v>1</x:v>
      </x:c>
      <x:c r="N115" t="n">
        <x:v>1</x:v>
      </x:c>
    </x:row>
    <x:row r="116">
      <x:c r="A116" t="str">
        <x:v>a1_new_minus_old</x:v>
      </x:c>
      <x:c r="B116" t="str">
        <x:v>verifiable</x:v>
      </x:c>
      <x:c r="C116" t="str">
        <x:f>"qid:-728189424752983312"</x:f>
        <x:v>qid:-728189424752983312</x:v>
      </x:c>
      <x:c r="D116" s="14" t="str">
        <x:v>Where did the term bye felicia come from?</x:v>
      </x:c>
      <x:c r="E116" t="str">
        <x:v>old</x:v>
      </x:c>
      <x:c r="F116" t="str">
        <x:v>new</x:v>
      </x:c>
      <x:c r="G116" s="34" t="n">
        <x:v>1</x:v>
      </x:c>
      <x:c r="H116" s="34" t="n">
        <x:v>1</x:v>
      </x:c>
      <x:c r="I116" s="34" t="n">
        <x:v>0</x:v>
      </x:c>
      <x:c r="J116" t="str">
        <x:v>unchanged</x:v>
      </x:c>
      <x:c r="K116" t="n">
        <x:v>2</x:v>
      </x:c>
      <x:c r="L116" t="n">
        <x:v>2</x:v>
      </x:c>
      <x:c r="M116" t="n">
        <x:v>1</x:v>
      </x:c>
      <x:c r="N116" t="n">
        <x:v>1</x:v>
      </x:c>
    </x:row>
    <x:row r="117">
      <x:c r="A117" t="str">
        <x:v>a1_new_minus_old</x:v>
      </x:c>
      <x:c r="B117" t="str">
        <x:v>verifiable</x:v>
      </x:c>
      <x:c r="C117" t="str">
        <x:f>"qid:-7699606393193219666"</x:f>
        <x:v>qid:-7699606393193219666</x:v>
      </x:c>
      <x:c r="D117" s="14" t="str">
        <x:v>Who played cowboy curtis on pee wee herman?</x:v>
      </x:c>
      <x:c r="E117" t="str">
        <x:v>old</x:v>
      </x:c>
      <x:c r="F117" t="str">
        <x:v>new</x:v>
      </x:c>
      <x:c r="G117" s="34" t="n">
        <x:v>0</x:v>
      </x:c>
      <x:c r="H117" s="34" t="n">
        <x:v>0.5</x:v>
      </x:c>
      <x:c r="I117" s="34" t="n">
        <x:v>0.5</x:v>
      </x:c>
      <x:c r="J117" t="str">
        <x:v>improved</x:v>
      </x:c>
      <x:c r="K117" t="n">
        <x:v>0</x:v>
      </x:c>
      <x:c r="L117" t="n">
        <x:v>1</x:v>
      </x:c>
      <x:c r="M117" t="n">
        <x:v>1</x:v>
      </x:c>
      <x:c r="N117" t="n">
        <x:v>2</x:v>
      </x:c>
    </x:row>
    <x:row r="118">
      <x:c r="A118" t="str">
        <x:v>a1_new_minus_old</x:v>
      </x:c>
      <x:c r="B118" t="str">
        <x:v>verifiable</x:v>
      </x:c>
      <x:c r="C118" t="str">
        <x:f>"qid:-7824075627194227170"</x:f>
        <x:v>qid:-7824075627194227170</x:v>
      </x:c>
      <x:c r="D118" s="14" t="str">
        <x:v>When was the commission fir sc/st established?</x:v>
      </x:c>
      <x:c r="E118" t="str">
        <x:v>old</x:v>
      </x:c>
      <x:c r="F118" t="str">
        <x:v>new</x:v>
      </x:c>
      <x:c r="G118" s="34" t="n">
        <x:v>0.75</x:v>
      </x:c>
      <x:c r="H118" s="34" t="n">
        <x:v>1</x:v>
      </x:c>
      <x:c r="I118" s="34" t="n">
        <x:v>0.25</x:v>
      </x:c>
      <x:c r="J118" t="str">
        <x:v>improved</x:v>
      </x:c>
      <x:c r="K118" t="n">
        <x:v>3</x:v>
      </x:c>
      <x:c r="L118" t="n">
        <x:v>4</x:v>
      </x:c>
      <x:c r="M118" t="n">
        <x:v>1</x:v>
      </x:c>
      <x:c r="N118" t="n">
        <x:v>1</x:v>
      </x:c>
    </x:row>
    <x:row r="119">
      <x:c r="A119" t="str">
        <x:v>a1_new_minus_old</x:v>
      </x:c>
      <x:c r="B119" t="str">
        <x:v>verifiable</x:v>
      </x:c>
      <x:c r="C119" t="str">
        <x:f>"qid:-8286966211355378010"</x:f>
        <x:v>qid:-8286966211355378010</x:v>
      </x:c>
      <x:c r="D119" s="14" t="str">
        <x:v>What is the objective of tour de france?</x:v>
      </x:c>
      <x:c r="E119" t="str">
        <x:v>old</x:v>
      </x:c>
      <x:c r="F119" t="str">
        <x:v>new</x:v>
      </x:c>
      <x:c r="G119" s="34" t="n">
        <x:v>0.5</x:v>
      </x:c>
      <x:c r="H119" s="34" t="n">
        <x:v>1</x:v>
      </x:c>
      <x:c r="I119" s="34" t="n">
        <x:v>0.5</x:v>
      </x:c>
      <x:c r="J119" t="str">
        <x:v>improved</x:v>
      </x:c>
      <x:c r="K119" t="n">
        <x:v>1</x:v>
      </x:c>
      <x:c r="L119" t="n">
        <x:v>2</x:v>
      </x:c>
      <x:c r="M119" t="n">
        <x:v>1</x:v>
      </x:c>
      <x:c r="N119" t="n">
        <x:v>1</x:v>
      </x:c>
    </x:row>
    <x:row r="120">
      <x:c r="A120" t="str">
        <x:v>a1_new_minus_old</x:v>
      </x:c>
      <x:c r="B120" t="str">
        <x:v>verifiable</x:v>
      </x:c>
      <x:c r="C120" t="str">
        <x:f>"qid:-9141149438582194391"</x:f>
        <x:v>qid:-9141149438582194391</x:v>
      </x:c>
      <x:c r="D120" s="14" t="str">
        <x:v>Who has scored the highest number of runs in test cricket?</x:v>
      </x:c>
      <x:c r="E120" t="str">
        <x:v>old</x:v>
      </x:c>
      <x:c r="F120" t="str">
        <x:v>new</x:v>
      </x:c>
      <x:c r="G120" s="34" t="n">
        <x:v>0.3333333333333333</x:v>
      </x:c>
      <x:c r="H120" s="34" t="n">
        <x:v>0</x:v>
      </x:c>
      <x:c r="I120" s="34" t="n">
        <x:v>-0.3333333333333333</x:v>
      </x:c>
      <x:c r="J120" t="str">
        <x:v>regressed</x:v>
      </x:c>
      <x:c r="K120" t="n">
        <x:v>1</x:v>
      </x:c>
      <x:c r="L120" t="n">
        <x:v>3</x:v>
      </x:c>
      <x:c r="M120" t="n">
        <x:v>0</x:v>
      </x:c>
      <x:c r="N120" t="n">
        <x:v>4</x:v>
      </x:c>
    </x:row>
    <x:row r="121">
      <x:c r="A121" t="str">
        <x:v>a1_new_minus_old</x:v>
      </x:c>
      <x:c r="B121" t="str">
        <x:v>verifiable</x:v>
      </x:c>
      <x:c r="C121" t="str">
        <x:f>"qid:-99543908387769967"</x:f>
        <x:v>qid:-99543908387769967</x:v>
      </x:c>
      <x:c r="D121" s="14" t="str">
        <x:v>Who does sansa marry on game of thrones?</x:v>
      </x:c>
      <x:c r="E121" t="str">
        <x:v>old</x:v>
      </x:c>
      <x:c r="F121" t="str">
        <x:v>new</x:v>
      </x:c>
      <x:c r="G121" s="34" t="n">
        <x:v>0.5</x:v>
      </x:c>
      <x:c r="H121" s="34" t="n">
        <x:v>1</x:v>
      </x:c>
      <x:c r="I121" s="34" t="n">
        <x:v>0.5</x:v>
      </x:c>
      <x:c r="J121" t="str">
        <x:v>improved</x:v>
      </x:c>
      <x:c r="K121" t="n">
        <x:v>2</x:v>
      </x:c>
      <x:c r="L121" t="n">
        <x:v>4</x:v>
      </x:c>
      <x:c r="M121" t="n">
        <x:v>1</x:v>
      </x:c>
      <x:c r="N121" t="n">
        <x:v>1</x:v>
      </x:c>
    </x:row>
    <x:row r="122">
      <x:c r="A122" t="str">
        <x:v>a1_new_minus_old</x:v>
      </x:c>
      <x:c r="B122" t="str">
        <x:v>verifiable</x:v>
      </x:c>
      <x:c r="C122" t="str">
        <x:f>"qid:16881061444712536"</x:f>
        <x:v>qid:16881061444712536</x:v>
      </x:c>
      <x:c r="D122" s="14" t="str">
        <x:v>Where does the amazon river start and finish?</x:v>
      </x:c>
      <x:c r="E122" t="str">
        <x:v>old</x:v>
      </x:c>
      <x:c r="F122" t="str">
        <x:v>new</x:v>
      </x:c>
      <x:c r="G122" s="34" t="n">
        <x:v>0.6666666666666666</x:v>
      </x:c>
      <x:c r="H122" s="34" t="n">
        <x:v>1</x:v>
      </x:c>
      <x:c r="I122" s="34" t="n">
        <x:v>0.33333333333333337</x:v>
      </x:c>
      <x:c r="J122" t="str">
        <x:v>improved</x:v>
      </x:c>
      <x:c r="K122" t="n">
        <x:v>2</x:v>
      </x:c>
      <x:c r="L122" t="n">
        <x:v>3</x:v>
      </x:c>
      <x:c r="M122" t="n">
        <x:v>2</x:v>
      </x:c>
      <x:c r="N122" t="n">
        <x:v>2</x:v>
      </x:c>
    </x:row>
    <x:row r="123">
      <x:c r="A123" t="str">
        <x:v>a1_new_minus_old</x:v>
      </x:c>
      <x:c r="B123" t="str">
        <x:v>verifiable</x:v>
      </x:c>
      <x:c r="C123" t="str">
        <x:f>"qid:1763163294931046731"</x:f>
        <x:v>qid:1763163294931046731</x:v>
      </x:c>
      <x:c r="D123" s="14" t="str">
        <x:v>Who played violet rutherford on leave it to beaver?</x:v>
      </x:c>
      <x:c r="E123" t="str">
        <x:v>old</x:v>
      </x:c>
      <x:c r="F123" t="str">
        <x:v>new</x:v>
      </x:c>
      <x:c r="G123" s="34" t="n">
        <x:v>1</x:v>
      </x:c>
      <x:c r="H123" s="34" t="n">
        <x:v>1</x:v>
      </x:c>
      <x:c r="I123" s="34" t="n">
        <x:v>0</x:v>
      </x:c>
      <x:c r="J123" t="str">
        <x:v>unchanged</x:v>
      </x:c>
      <x:c r="K123" t="n">
        <x:v>1</x:v>
      </x:c>
      <x:c r="L123" t="n">
        <x:v>1</x:v>
      </x:c>
      <x:c r="M123" t="n">
        <x:v>1</x:v>
      </x:c>
      <x:c r="N123" t="n">
        <x:v>1</x:v>
      </x:c>
    </x:row>
    <x:row r="124">
      <x:c r="A124" t="str">
        <x:v>a1_new_minus_old</x:v>
      </x:c>
      <x:c r="B124" t="str">
        <x:v>verifiable</x:v>
      </x:c>
      <x:c r="C124" t="str">
        <x:f>"qid:2221044921312683785"</x:f>
        <x:v>qid:2221044921312683785</x:v>
      </x:c>
      <x:c r="D124" s="14" t="str">
        <x:v>When did the apple tv 4k come out?</x:v>
      </x:c>
      <x:c r="E124" t="str">
        <x:v>old</x:v>
      </x:c>
      <x:c r="F124" t="str">
        <x:v>new</x:v>
      </x:c>
      <x:c r="G124" s="34" t="n">
        <x:v>0.3333333333333333</x:v>
      </x:c>
      <x:c r="H124" s="34" t="n">
        <x:v>1</x:v>
      </x:c>
      <x:c r="I124" s="34" t="n">
        <x:v>0.6666666666666667</x:v>
      </x:c>
      <x:c r="J124" t="str">
        <x:v>improved</x:v>
      </x:c>
      <x:c r="K124" t="n">
        <x:v>1</x:v>
      </x:c>
      <x:c r="L124" t="n">
        <x:v>3</x:v>
      </x:c>
      <x:c r="M124" t="n">
        <x:v>1</x:v>
      </x:c>
      <x:c r="N124" t="n">
        <x:v>1</x:v>
      </x:c>
    </x:row>
    <x:row r="125">
      <x:c r="A125" t="str">
        <x:v>a1_new_minus_old</x:v>
      </x:c>
      <x:c r="B125" t="str">
        <x:v>verifiable</x:v>
      </x:c>
      <x:c r="C125" t="str">
        <x:f>"qid:2469112227919120438"</x:f>
        <x:v>qid:2469112227919120438</x:v>
      </x:c>
      <x:c r="D125" s="14" t="str">
        <x:v>The creation of the senate was based on the?</x:v>
      </x:c>
      <x:c r="E125" t="str">
        <x:v>old</x:v>
      </x:c>
      <x:c r="F125" t="str">
        <x:v>new</x:v>
      </x:c>
      <x:c r="G125" s="34" t="n">
        <x:v>0.5</x:v>
      </x:c>
      <x:c r="H125" s="34" t="n">
        <x:v>1</x:v>
      </x:c>
      <x:c r="I125" s="34" t="n">
        <x:v>0.5</x:v>
      </x:c>
      <x:c r="J125" t="str">
        <x:v>improved</x:v>
      </x:c>
      <x:c r="K125" t="n">
        <x:v>2</x:v>
      </x:c>
      <x:c r="L125" t="n">
        <x:v>4</x:v>
      </x:c>
      <x:c r="M125" t="n">
        <x:v>1</x:v>
      </x:c>
      <x:c r="N125" t="n">
        <x:v>1</x:v>
      </x:c>
    </x:row>
    <x:row r="126">
      <x:c r="A126" t="str">
        <x:v>a1_new_minus_old</x:v>
      </x:c>
      <x:c r="B126" t="str">
        <x:v>verifiable</x:v>
      </x:c>
      <x:c r="C126" t="str">
        <x:f>"qid:3605104154738105404"</x:f>
        <x:v>qid:3605104154738105404</x:v>
      </x:c>
      <x:c r="D126" s="14" t="str">
        <x:v>What episode does jason gideon die in criminal minds?</x:v>
      </x:c>
      <x:c r="E126" t="str">
        <x:v>old</x:v>
      </x:c>
      <x:c r="F126" t="str">
        <x:v>new</x:v>
      </x:c>
      <x:c r="G126" s="34" t="n">
        <x:v>1</x:v>
      </x:c>
      <x:c r="H126" s="34" t="n">
        <x:v>1</x:v>
      </x:c>
      <x:c r="I126" s="34" t="n">
        <x:v>0</x:v>
      </x:c>
      <x:c r="J126" t="str">
        <x:v>unchanged</x:v>
      </x:c>
      <x:c r="K126" t="n">
        <x:v>1</x:v>
      </x:c>
      <x:c r="L126" t="n">
        <x:v>1</x:v>
      </x:c>
      <x:c r="M126" t="n">
        <x:v>1</x:v>
      </x:c>
      <x:c r="N126" t="n">
        <x:v>1</x:v>
      </x:c>
    </x:row>
    <x:row r="127">
      <x:c r="A127" t="str">
        <x:v>a1_new_minus_old</x:v>
      </x:c>
      <x:c r="B127" t="str">
        <x:v>verifiable</x:v>
      </x:c>
      <x:c r="C127" t="str">
        <x:f>"qid:3643093465010420057"</x:f>
        <x:v>qid:3643093465010420057</x:v>
      </x:c>
      <x:c r="D127" s="14" t="str">
        <x:v>What city in texas has the highest elevation?</x:v>
      </x:c>
      <x:c r="E127" t="str">
        <x:v>old</x:v>
      </x:c>
      <x:c r="F127" t="str">
        <x:v>new</x:v>
      </x:c>
      <x:c r="G127" s="34" t="n">
        <x:v>0</x:v>
      </x:c>
      <x:c r="H127" s="34" t="n">
        <x:v>0.5</x:v>
      </x:c>
      <x:c r="I127" s="34" t="n">
        <x:v>0.5</x:v>
      </x:c>
      <x:c r="J127" t="str">
        <x:v>improved</x:v>
      </x:c>
      <x:c r="K127" t="n">
        <x:v>0</x:v>
      </x:c>
      <x:c r="L127" t="n">
        <x:v>1</x:v>
      </x:c>
      <x:c r="M127" t="n">
        <x:v>1</x:v>
      </x:c>
      <x:c r="N127" t="n">
        <x:v>2</x:v>
      </x:c>
    </x:row>
    <x:row r="128">
      <x:c r="A128" t="str">
        <x:v>a1_new_minus_old</x:v>
      </x:c>
      <x:c r="B128" t="str">
        <x:v>verifiable</x:v>
      </x:c>
      <x:c r="C128" t="str">
        <x:f>"qid:4150448921344430432"</x:f>
        <x:v>qid:4150448921344430432</x:v>
      </x:c>
      <x:c r="D128" s="14" t="str">
        <x:v>Who were the original twins in everybody loves raymond?</x:v>
      </x:c>
      <x:c r="E128" t="str">
        <x:v>old</x:v>
      </x:c>
      <x:c r="F128" t="str">
        <x:v>new</x:v>
      </x:c>
      <x:c r="G128" s="34" t="n">
        <x:v>0.6666666666666666</x:v>
      </x:c>
      <x:c r="H128" s="34" t="n">
        <x:v>1</x:v>
      </x:c>
      <x:c r="I128" s="34" t="n">
        <x:v>0.33333333333333337</x:v>
      </x:c>
      <x:c r="J128" t="str">
        <x:v>improved</x:v>
      </x:c>
      <x:c r="K128" t="n">
        <x:v>2</x:v>
      </x:c>
      <x:c r="L128" t="n">
        <x:v>3</x:v>
      </x:c>
      <x:c r="M128" t="n">
        <x:v>1</x:v>
      </x:c>
      <x:c r="N128" t="n">
        <x:v>1</x:v>
      </x:c>
    </x:row>
    <x:row r="129">
      <x:c r="A129" t="str">
        <x:v>a1_new_minus_old</x:v>
      </x:c>
      <x:c r="B129" t="str">
        <x:v>verifiable</x:v>
      </x:c>
      <x:c r="C129" t="str">
        <x:f>"qid:4183252176965080529"</x:f>
        <x:v>qid:4183252176965080529</x:v>
      </x:c>
      <x:c r="D129" s="14" t="str">
        <x:v>When does the new independence day come out?</x:v>
      </x:c>
      <x:c r="E129" t="str">
        <x:v>old</x:v>
      </x:c>
      <x:c r="F129" t="str">
        <x:v>new</x:v>
      </x:c>
      <x:c r="G129" s="34" t="n">
        <x:v>0.6666666666666666</x:v>
      </x:c>
      <x:c r="H129" s="34" t="n">
        <x:v>1</x:v>
      </x:c>
      <x:c r="I129" s="34" t="n">
        <x:v>0.33333333333333337</x:v>
      </x:c>
      <x:c r="J129" t="str">
        <x:v>improved</x:v>
      </x:c>
      <x:c r="K129" t="n">
        <x:v>2</x:v>
      </x:c>
      <x:c r="L129" t="n">
        <x:v>3</x:v>
      </x:c>
      <x:c r="M129" t="n">
        <x:v>1</x:v>
      </x:c>
      <x:c r="N129" t="n">
        <x:v>1</x:v>
      </x:c>
    </x:row>
    <x:row r="130">
      <x:c r="A130" t="str">
        <x:v>a1_new_minus_old</x:v>
      </x:c>
      <x:c r="B130" t="str">
        <x:v>verifiable</x:v>
      </x:c>
      <x:c r="C130" t="str">
        <x:f>"qid:4474597907223412132"</x:f>
        <x:v>qid:4474597907223412132</x:v>
      </x:c>
      <x:c r="D130" s="14" t="str">
        <x:v>Who were the two astronauts who stayed a year on the iss?</x:v>
      </x:c>
      <x:c r="E130" t="str">
        <x:v>old</x:v>
      </x:c>
      <x:c r="F130" t="str">
        <x:v>new</x:v>
      </x:c>
      <x:c r="G130" s="34" t="n">
        <x:v>0.5</x:v>
      </x:c>
      <x:c r="H130" s="34" t="n">
        <x:v>1</x:v>
      </x:c>
      <x:c r="I130" s="34" t="n">
        <x:v>0.5</x:v>
      </x:c>
      <x:c r="J130" t="str">
        <x:v>improved</x:v>
      </x:c>
      <x:c r="K130" t="n">
        <x:v>1</x:v>
      </x:c>
      <x:c r="L130" t="n">
        <x:v>2</x:v>
      </x:c>
      <x:c r="M130" t="n">
        <x:v>1</x:v>
      </x:c>
      <x:c r="N130" t="n">
        <x:v>1</x:v>
      </x:c>
    </x:row>
    <x:row r="131">
      <x:c r="A131" t="str">
        <x:v>a1_new_minus_old</x:v>
      </x:c>
      <x:c r="B131" t="str">
        <x:v>verifiable</x:v>
      </x:c>
      <x:c r="C131" t="str">
        <x:f>"qid:586233275728240023"</x:f>
        <x:v>qid:586233275728240023</x:v>
      </x:c>
      <x:c r="D131" s="14" t="str">
        <x:v>What is the os of samsung smart tv?</x:v>
      </x:c>
      <x:c r="E131" t="str">
        <x:v>old</x:v>
      </x:c>
      <x:c r="F131" t="str">
        <x:v>new</x:v>
      </x:c>
      <x:c r="G131" s="34" t="n">
        <x:v>1</x:v>
      </x:c>
      <x:c r="H131" s="34" t="n">
        <x:v>1</x:v>
      </x:c>
      <x:c r="I131" s="34" t="n">
        <x:v>0</x:v>
      </x:c>
      <x:c r="J131" t="str">
        <x:v>unchanged</x:v>
      </x:c>
      <x:c r="K131" t="n">
        <x:v>1</x:v>
      </x:c>
      <x:c r="L131" t="n">
        <x:v>1</x:v>
      </x:c>
      <x:c r="M131" t="n">
        <x:v>1</x:v>
      </x:c>
      <x:c r="N131" t="n">
        <x:v>1</x:v>
      </x:c>
    </x:row>
    <x:row r="132">
      <x:c r="A132" t="str">
        <x:v>a1_new_minus_old</x:v>
      </x:c>
      <x:c r="B132" t="str">
        <x:v>verifiable</x:v>
      </x:c>
      <x:c r="C132" t="str">
        <x:f>"qid:6257465985316109835"</x:f>
        <x:v>qid:6257465985316109835</x:v>
      </x:c>
      <x:c r="D132" s="14" t="str">
        <x:v>Who is the main character in liv and maddie?</x:v>
      </x:c>
      <x:c r="E132" t="str">
        <x:v>old</x:v>
      </x:c>
      <x:c r="F132" t="str">
        <x:v>new</x:v>
      </x:c>
      <x:c r="G132" s="34" t="n">
        <x:v>1</x:v>
      </x:c>
      <x:c r="H132" s="34" t="n">
        <x:v>1</x:v>
      </x:c>
      <x:c r="I132" s="34" t="n">
        <x:v>0</x:v>
      </x:c>
      <x:c r="J132" t="str">
        <x:v>unchanged</x:v>
      </x:c>
      <x:c r="K132" t="n">
        <x:v>1</x:v>
      </x:c>
      <x:c r="L132" t="n">
        <x:v>1</x:v>
      </x:c>
      <x:c r="M132" t="n">
        <x:v>1</x:v>
      </x:c>
      <x:c r="N132" t="n">
        <x:v>1</x:v>
      </x:c>
    </x:row>
    <x:row r="133">
      <x:c r="A133" t="str">
        <x:v>a1_new_minus_old</x:v>
      </x:c>
      <x:c r="B133" t="str">
        <x:v>verifiable</x:v>
      </x:c>
      <x:c r="C133" t="str">
        <x:f>"qid:6514531923811923780"</x:f>
        <x:v>qid:6514531923811923780</x:v>
      </x:c>
      <x:c r="D133" s="14" t="str">
        <x:v>When does disney's food and wine festival end?</x:v>
      </x:c>
      <x:c r="E133" t="str">
        <x:v>old</x:v>
      </x:c>
      <x:c r="F133" t="str">
        <x:v>new</x:v>
      </x:c>
      <x:c r="G133" s="34" t="n">
        <x:v>0.5</x:v>
      </x:c>
      <x:c r="H133" s="34" t="n">
        <x:v>1</x:v>
      </x:c>
      <x:c r="I133" s="34" t="n">
        <x:v>0.5</x:v>
      </x:c>
      <x:c r="J133" t="str">
        <x:v>improved</x:v>
      </x:c>
      <x:c r="K133" t="n">
        <x:v>1</x:v>
      </x:c>
      <x:c r="L133" t="n">
        <x:v>2</x:v>
      </x:c>
      <x:c r="M133" t="n">
        <x:v>1</x:v>
      </x:c>
      <x:c r="N133" t="n">
        <x:v>1</x:v>
      </x:c>
    </x:row>
    <x:row r="134">
      <x:c r="A134" t="str">
        <x:v>a1_new_minus_old</x:v>
      </x:c>
      <x:c r="B134" t="str">
        <x:v>verifiable</x:v>
      </x:c>
      <x:c r="C134" t="str">
        <x:f>"qid:6619094979746662600"</x:f>
        <x:v>qid:6619094979746662600</x:v>
      </x:c>
      <x:c r="D134" s="14" t="str">
        <x:v>Who wrote brown eyes by destiny's child?</x:v>
      </x:c>
      <x:c r="E134" t="str">
        <x:v>old</x:v>
      </x:c>
      <x:c r="F134" t="str">
        <x:v>new</x:v>
      </x:c>
      <x:c r="G134" s="34" t="n">
        <x:v>0</x:v>
      </x:c>
      <x:c r="H134" s="34" t="n">
        <x:v>0</x:v>
      </x:c>
      <x:c r="I134" s="34" t="n">
        <x:v>0</x:v>
      </x:c>
      <x:c r="J134" t="str">
        <x:v>unchanged</x:v>
      </x:c>
      <x:c r="K134" t="n">
        <x:v>0</x:v>
      </x:c>
      <x:c r="L134" t="n">
        <x:v>3</x:v>
      </x:c>
      <x:c r="M134" t="n">
        <x:v>0</x:v>
      </x:c>
      <x:c r="N134" t="n">
        <x:v>2</x:v>
      </x:c>
    </x:row>
    <x:row r="135">
      <x:c r="A135" t="str">
        <x:v>a1_new_minus_old</x:v>
      </x:c>
      <x:c r="B135" t="str">
        <x:v>verifiable</x:v>
      </x:c>
      <x:c r="C135" t="str">
        <x:f>"qid:6776234528515962047"</x:f>
        <x:v>qid:6776234528515962047</x:v>
      </x:c>
      <x:c r="D135" s="14" t="str">
        <x:v>Who is the most run in cricket history?</x:v>
      </x:c>
      <x:c r="E135" t="str">
        <x:v>old</x:v>
      </x:c>
      <x:c r="F135" t="str">
        <x:v>new</x:v>
      </x:c>
      <x:c r="G135" s="34" t="n">
        <x:v>0.3333333333333333</x:v>
      </x:c>
      <x:c r="H135" s="34" t="n">
        <x:v>0</x:v>
      </x:c>
      <x:c r="I135" s="34" t="n">
        <x:v>-0.3333333333333333</x:v>
      </x:c>
      <x:c r="J135" t="str">
        <x:v>regressed</x:v>
      </x:c>
      <x:c r="K135" t="n">
        <x:v>1</x:v>
      </x:c>
      <x:c r="L135" t="n">
        <x:v>3</x:v>
      </x:c>
      <x:c r="M135" t="n">
        <x:v>0</x:v>
      </x:c>
      <x:c r="N135" t="n">
        <x:v>2</x:v>
      </x:c>
    </x:row>
    <x:row r="136">
      <x:c r="A136" t="str">
        <x:v>a1_new_minus_old</x:v>
      </x:c>
      <x:c r="B136" t="str">
        <x:v>verifiable</x:v>
      </x:c>
      <x:c r="C136" t="str">
        <x:f>"qid:6962706727076805207"</x:f>
        <x:v>qid:6962706727076805207</x:v>
      </x:c>
      <x:c r="D136" s="14" t="str">
        <x:v>What kind of car in to catch a thief?</x:v>
      </x:c>
      <x:c r="E136" t="str">
        <x:v>old</x:v>
      </x:c>
      <x:c r="F136" t="str">
        <x:v>new</x:v>
      </x:c>
      <x:c r="G136" s="34" t="n">
        <x:v>0.75</x:v>
      </x:c>
      <x:c r="H136" s="34" t="n">
        <x:v>1</x:v>
      </x:c>
      <x:c r="I136" s="34" t="n">
        <x:v>0.25</x:v>
      </x:c>
      <x:c r="J136" t="str">
        <x:v>improved</x:v>
      </x:c>
      <x:c r="K136" t="n">
        <x:v>3</x:v>
      </x:c>
      <x:c r="L136" t="n">
        <x:v>4</x:v>
      </x:c>
      <x:c r="M136" t="n">
        <x:v>1</x:v>
      </x:c>
      <x:c r="N136" t="n">
        <x:v>1</x:v>
      </x:c>
    </x:row>
    <x:row r="137">
      <x:c r="A137" t="str">
        <x:v>a1_new_minus_old</x:v>
      </x:c>
      <x:c r="B137" t="str">
        <x:v>verifiable</x:v>
      </x:c>
      <x:c r="C137" t="str">
        <x:f>"qid:7150599999316106461"</x:f>
        <x:v>qid:7150599999316106461</x:v>
      </x:c>
      <x:c r="D137" s="14" t="str">
        <x:v>Who was the first singing brothers in the hall of fame?</x:v>
      </x:c>
      <x:c r="E137" t="str">
        <x:v>old</x:v>
      </x:c>
      <x:c r="F137" t="str">
        <x:v>new</x:v>
      </x:c>
      <x:c r="G137" s="34" t="n">
        <x:v>0.6666666666666666</x:v>
      </x:c>
      <x:c r="H137" s="34" t="n">
        <x:v>1</x:v>
      </x:c>
      <x:c r="I137" s="34" t="n">
        <x:v>0.33333333333333337</x:v>
      </x:c>
      <x:c r="J137" t="str">
        <x:v>improved</x:v>
      </x:c>
      <x:c r="K137" t="n">
        <x:v>2</x:v>
      </x:c>
      <x:c r="L137" t="n">
        <x:v>3</x:v>
      </x:c>
      <x:c r="M137" t="n">
        <x:v>1</x:v>
      </x:c>
      <x:c r="N137" t="n">
        <x:v>1</x:v>
      </x:c>
    </x:row>
    <x:row r="138">
      <x:c r="A138" t="str">
        <x:v>a1_new_minus_old</x:v>
      </x:c>
      <x:c r="B138" t="str">
        <x:v>verifiable</x:v>
      </x:c>
      <x:c r="C138" t="str">
        <x:f>"qid:732619765350082410"</x:f>
        <x:v>qid:732619765350082410</x:v>
      </x:c>
      <x:c r="D138" s="14" t="str">
        <x:v>When did toronto host the mlb all-star game?</x:v>
      </x:c>
      <x:c r="E138" t="str">
        <x:v>old</x:v>
      </x:c>
      <x:c r="F138" t="str">
        <x:v>new</x:v>
      </x:c>
      <x:c r="G138" s="34" t="n">
        <x:v>0.5</x:v>
      </x:c>
      <x:c r="H138" s="34" t="n">
        <x:v>1</x:v>
      </x:c>
      <x:c r="I138" s="34" t="n">
        <x:v>0.5</x:v>
      </x:c>
      <x:c r="J138" t="str">
        <x:v>improved</x:v>
      </x:c>
      <x:c r="K138" t="n">
        <x:v>1</x:v>
      </x:c>
      <x:c r="L138" t="n">
        <x:v>2</x:v>
      </x:c>
      <x:c r="M138" t="n">
        <x:v>1</x:v>
      </x:c>
      <x:c r="N138" t="n">
        <x:v>1</x:v>
      </x:c>
    </x:row>
    <x:row r="139">
      <x:c r="A139" t="str">
        <x:v>a1_new_minus_old</x:v>
      </x:c>
      <x:c r="B139" t="str">
        <x:v>verifiable</x:v>
      </x:c>
      <x:c r="C139" t="str">
        <x:f>"qid:743600309736467122"</x:f>
        <x:v>qid:743600309736467122</x:v>
      </x:c>
      <x:c r="D139" s="14" t="str">
        <x:v>When was on the revolutions of the heavenly spheres published?</x:v>
      </x:c>
      <x:c r="E139" t="str">
        <x:v>old</x:v>
      </x:c>
      <x:c r="F139" t="str">
        <x:v>new</x:v>
      </x:c>
      <x:c r="G139" s="34" t="n">
        <x:v>1</x:v>
      </x:c>
      <x:c r="H139" s="34" t="n">
        <x:v>1</x:v>
      </x:c>
      <x:c r="I139" s="34" t="n">
        <x:v>0</x:v>
      </x:c>
      <x:c r="J139" t="str">
        <x:v>unchanged</x:v>
      </x:c>
      <x:c r="K139" t="n">
        <x:v>1</x:v>
      </x:c>
      <x:c r="L139" t="n">
        <x:v>1</x:v>
      </x:c>
      <x:c r="M139" t="n">
        <x:v>1</x:v>
      </x:c>
      <x:c r="N139" t="n">
        <x:v>1</x:v>
      </x:c>
    </x:row>
    <x:row r="140">
      <x:c r="A140" t="str">
        <x:v>a1_new_minus_old</x:v>
      </x:c>
      <x:c r="B140" t="str">
        <x:v>verifiable</x:v>
      </x:c>
      <x:c r="C140" t="str">
        <x:f>"qid:7494804303418493420"</x:f>
        <x:v>qid:7494804303418493420</x:v>
      </x:c>
      <x:c r="D140" s="14" t="str">
        <x:v>Movie with the song sunshine on my shoulders?</x:v>
      </x:c>
      <x:c r="E140" t="str">
        <x:v>old</x:v>
      </x:c>
      <x:c r="F140" t="str">
        <x:v>new</x:v>
      </x:c>
      <x:c r="G140" s="34" t="n">
        <x:v>0.5</x:v>
      </x:c>
      <x:c r="H140" s="34" t="n">
        <x:v>1</x:v>
      </x:c>
      <x:c r="I140" s="34" t="n">
        <x:v>0.5</x:v>
      </x:c>
      <x:c r="J140" t="str">
        <x:v>improved</x:v>
      </x:c>
      <x:c r="K140" t="n">
        <x:v>1</x:v>
      </x:c>
      <x:c r="L140" t="n">
        <x:v>2</x:v>
      </x:c>
      <x:c r="M140" t="n">
        <x:v>1</x:v>
      </x:c>
      <x:c r="N140" t="n">
        <x:v>1</x:v>
      </x:c>
    </x:row>
    <x:row r="141">
      <x:c r="A141" t="str">
        <x:v>a1_new_minus_old</x:v>
      </x:c>
      <x:c r="B141" t="str">
        <x:v>verifiable</x:v>
      </x:c>
      <x:c r="C141" t="str">
        <x:f>"qid:7797208395147217894"</x:f>
        <x:v>qid:7797208395147217894</x:v>
      </x:c>
      <x:c r="D141" s="14" t="str">
        <x:v>When did west germany win the world cup?</x:v>
      </x:c>
      <x:c r="E141" t="str">
        <x:v>old</x:v>
      </x:c>
      <x:c r="F141" t="str">
        <x:v>new</x:v>
      </x:c>
      <x:c r="G141" s="34" t="n">
        <x:v>0.6666666666666666</x:v>
      </x:c>
      <x:c r="H141" s="34" t="n">
        <x:v>0.5</x:v>
      </x:c>
      <x:c r="I141" s="34" t="n">
        <x:v>-0.16666666666666663</x:v>
      </x:c>
      <x:c r="J141" t="str">
        <x:v>regressed</x:v>
      </x:c>
      <x:c r="K141" t="n">
        <x:v>2</x:v>
      </x:c>
      <x:c r="L141" t="n">
        <x:v>3</x:v>
      </x:c>
      <x:c r="M141" t="n">
        <x:v>1</x:v>
      </x:c>
      <x:c r="N141" t="n">
        <x:v>2</x:v>
      </x:c>
    </x:row>
    <x:row r="142">
      <x:c r="A142" t="str">
        <x:v>a1_new_minus_old</x:v>
      </x:c>
      <x:c r="B142" t="str">
        <x:v>verifiable</x:v>
      </x:c>
      <x:c r="C142" t="str">
        <x:f>"qid:8433533625736230886"</x:f>
        <x:v>qid:8433533625736230886</x:v>
      </x:c>
      <x:c r="D142" s="14" t="str">
        <x:v>Who has won the most trophies man utd or liverpool?</x:v>
      </x:c>
      <x:c r="E142" t="str">
        <x:v>old</x:v>
      </x:c>
      <x:c r="F142" t="str">
        <x:v>new</x:v>
      </x:c>
      <x:c r="G142" s="34" t="n">
        <x:v>1</x:v>
      </x:c>
      <x:c r="H142" s="34" t="n">
        <x:v>1</x:v>
      </x:c>
      <x:c r="I142" s="34" t="n">
        <x:v>0</x:v>
      </x:c>
      <x:c r="J142" t="str">
        <x:v>unchanged</x:v>
      </x:c>
      <x:c r="K142" t="n">
        <x:v>1</x:v>
      </x:c>
      <x:c r="L142" t="n">
        <x:v>1</x:v>
      </x:c>
      <x:c r="M142" t="n">
        <x:v>1</x:v>
      </x:c>
      <x:c r="N142" t="n">
        <x:v>1</x:v>
      </x:c>
    </x:row>
    <x:row r="143">
      <x:c r="A143" t="str">
        <x:v>a1_new_minus_old</x:v>
      </x:c>
      <x:c r="B143" t="str">
        <x:v>verifiable</x:v>
      </x:c>
      <x:c r="C143" t="str">
        <x:f>"qid:8686216144939155905"</x:f>
        <x:v>qid:8686216144939155905</x:v>
      </x:c>
      <x:c r="D143" s="14" t="str">
        <x:v>What is the name of the time zone for london?</x:v>
      </x:c>
      <x:c r="E143" t="str">
        <x:v>old</x:v>
      </x:c>
      <x:c r="F143" t="str">
        <x:v>new</x:v>
      </x:c>
      <x:c r="G143" s="34" t="n">
        <x:v>1</x:v>
      </x:c>
      <x:c r="H143" s="34" t="n">
        <x:v>1</x:v>
      </x:c>
      <x:c r="I143" s="34" t="n">
        <x:v>0</x:v>
      </x:c>
      <x:c r="J143" t="str">
        <x:v>unchanged</x:v>
      </x:c>
      <x:c r="K143" t="n">
        <x:v>1</x:v>
      </x:c>
      <x:c r="L143" t="n">
        <x:v>1</x:v>
      </x:c>
      <x:c r="M143" t="n">
        <x:v>1</x:v>
      </x:c>
      <x:c r="N143" t="n">
        <x:v>1</x:v>
      </x:c>
    </x:row>
    <x:row r="144">
      <x:c r="A144" t="str">
        <x:v>a1_new_minus_old</x:v>
      </x:c>
      <x:c r="B144" t="str">
        <x:v>verifiable</x:v>
      </x:c>
      <x:c r="C144" t="str">
        <x:f>"qid:87005427005915954"</x:f>
        <x:v>qid:87005427005915954</x:v>
      </x:c>
      <x:c r="D144" s="14" t="str">
        <x:v>When was the last time galway won the hurling all ireland?</x:v>
      </x:c>
      <x:c r="E144" t="str">
        <x:v>old</x:v>
      </x:c>
      <x:c r="F144" t="str">
        <x:v>new</x:v>
      </x:c>
      <x:c r="G144" s="34" t="n">
        <x:v>1</x:v>
      </x:c>
      <x:c r="H144" s="34" t="n">
        <x:v>1</x:v>
      </x:c>
      <x:c r="I144" s="34" t="n">
        <x:v>0</x:v>
      </x:c>
      <x:c r="J144" t="str">
        <x:v>unchanged</x:v>
      </x:c>
      <x:c r="K144" t="n">
        <x:v>1</x:v>
      </x:c>
      <x:c r="L144" t="n">
        <x:v>1</x:v>
      </x:c>
      <x:c r="M144" t="n">
        <x:v>1</x:v>
      </x:c>
      <x:c r="N144" t="n">
        <x:v>1</x:v>
      </x:c>
    </x:row>
    <x:row r="145">
      <x:c r="A145" t="str">
        <x:v>a1_new_minus_old</x:v>
      </x:c>
      <x:c r="B145" t="str">
        <x:v>unresolved_pronoun</x:v>
      </x:c>
      <x:c r="C145" t="str">
        <x:f>"qid:-1062522255440685408"</x:f>
        <x:v>qid:-1062522255440685408</x:v>
      </x:c>
      <x:c r="D145" s="14" t="str">
        <x:v>When did the first generation kindle fire come out?</x:v>
      </x:c>
      <x:c r="E145" t="str">
        <x:v>old</x:v>
      </x:c>
      <x:c r="F145" t="str">
        <x:v>new</x:v>
      </x:c>
      <x:c r="G145" s="34" t="n">
        <x:v>0</x:v>
      </x:c>
      <x:c r="H145" s="34" t="n">
        <x:v>0</x:v>
      </x:c>
      <x:c r="I145" s="34" t="n">
        <x:v>0</x:v>
      </x:c>
      <x:c r="J145" t="str">
        <x:v>unchanged</x:v>
      </x:c>
      <x:c r="K145" t="n">
        <x:v>0</x:v>
      </x:c>
      <x:c r="L145" t="n">
        <x:v>1</x:v>
      </x:c>
      <x:c r="M145" t="n">
        <x:v>0</x:v>
      </x:c>
      <x:c r="N145" t="n">
        <x:v>1</x:v>
      </x:c>
    </x:row>
    <x:row r="146">
      <x:c r="A146" t="str">
        <x:v>a1_new_minus_old</x:v>
      </x:c>
      <x:c r="B146" t="str">
        <x:v>unresolved_pronoun</x:v>
      </x:c>
      <x:c r="C146" t="str">
        <x:f>"qid:-1859261645300630518"</x:f>
        <x:v>qid:-1859261645300630518</x:v>
      </x:c>
      <x:c r="D146" s="14" t="str">
        <x:v>When does steve come back in shameless season 5?</x:v>
      </x:c>
      <x:c r="E146" t="str">
        <x:v>old</x:v>
      </x:c>
      <x:c r="F146" t="str">
        <x:v>new</x:v>
      </x:c>
      <x:c r="G146" s="34" t="n">
        <x:v>0</x:v>
      </x:c>
      <x:c r="H146" s="34" t="n">
        <x:v>0</x:v>
      </x:c>
      <x:c r="I146" s="34" t="n">
        <x:v>0</x:v>
      </x:c>
      <x:c r="J146" t="str">
        <x:v>unchanged</x:v>
      </x:c>
      <x:c r="K146" t="n">
        <x:v>0</x:v>
      </x:c>
      <x:c r="L146" t="n">
        <x:v>2</x:v>
      </x:c>
      <x:c r="M146" t="n">
        <x:v>0</x:v>
      </x:c>
      <x:c r="N146" t="n">
        <x:v>1</x:v>
      </x:c>
    </x:row>
    <x:row r="147">
      <x:c r="A147" t="str">
        <x:v>a1_new_minus_old</x:v>
      </x:c>
      <x:c r="B147" t="str">
        <x:v>unresolved_pronoun</x:v>
      </x:c>
      <x:c r="C147" t="str">
        <x:f>"qid:-2585133819352441604"</x:f>
        <x:v>qid:-2585133819352441604</x:v>
      </x:c>
      <x:c r="D147" s="14" t="str">
        <x:v>Name of first episode of this is us?</x:v>
      </x:c>
      <x:c r="E147" t="str">
        <x:v>old</x:v>
      </x:c>
      <x:c r="F147" t="str">
        <x:v>new</x:v>
      </x:c>
      <x:c r="G147" s="34" t="n">
        <x:v>0</x:v>
      </x:c>
      <x:c r="H147" s="34" t="n">
        <x:v>0</x:v>
      </x:c>
      <x:c r="I147" s="34" t="n">
        <x:v>0</x:v>
      </x:c>
      <x:c r="J147" t="str">
        <x:v>unchanged</x:v>
      </x:c>
      <x:c r="K147" t="n">
        <x:v>0</x:v>
      </x:c>
      <x:c r="L147" t="n">
        <x:v>2</x:v>
      </x:c>
      <x:c r="M147" t="n">
        <x:v>0</x:v>
      </x:c>
      <x:c r="N147" t="n">
        <x:v>1</x:v>
      </x:c>
    </x:row>
    <x:row r="148">
      <x:c r="A148" t="str">
        <x:v>a1_new_minus_old</x:v>
      </x:c>
      <x:c r="B148" t="str">
        <x:v>unresolved_pronoun</x:v>
      </x:c>
      <x:c r="C148" t="str">
        <x:f>"qid:-3228483207040151533"</x:f>
        <x:v>qid:-3228483207040151533</x:v>
      </x:c>
      <x:c r="D148" s="14" t="str">
        <x:v>What bodies of water surround cabo san lucas?</x:v>
      </x:c>
      <x:c r="E148" t="str">
        <x:v>old</x:v>
      </x:c>
      <x:c r="F148" t="str">
        <x:v>new</x:v>
      </x:c>
      <x:c r="G148" s="34" t="n">
        <x:v>0</x:v>
      </x:c>
      <x:c r="H148" s="34" t="n">
        <x:v>0</x:v>
      </x:c>
      <x:c r="I148" s="34" t="n">
        <x:v>0</x:v>
      </x:c>
      <x:c r="J148" t="str">
        <x:v>unchanged</x:v>
      </x:c>
      <x:c r="K148" t="n">
        <x:v>0</x:v>
      </x:c>
      <x:c r="L148" t="n">
        <x:v>2</x:v>
      </x:c>
      <x:c r="M148" t="n">
        <x:v>0</x:v>
      </x:c>
      <x:c r="N148" t="n">
        <x:v>2</x:v>
      </x:c>
    </x:row>
    <x:row r="149">
      <x:c r="A149" t="str">
        <x:v>a1_new_minus_old</x:v>
      </x:c>
      <x:c r="B149" t="str">
        <x:v>unresolved_pronoun</x:v>
      </x:c>
      <x:c r="C149" t="str">
        <x:f>"qid:-3279585462082900736"</x:f>
        <x:v>qid:-3279585462082900736</x:v>
      </x:c>
      <x:c r="D149" s="14" t="str">
        <x:v>Who gets fired on grey's anatomy season 6?</x:v>
      </x:c>
      <x:c r="E149" t="str">
        <x:v>old</x:v>
      </x:c>
      <x:c r="F149" t="str">
        <x:v>new</x:v>
      </x:c>
      <x:c r="G149" s="34" t="n">
        <x:v>0</x:v>
      </x:c>
      <x:c r="H149" s="34" t="n">
        <x:v>0</x:v>
      </x:c>
      <x:c r="I149" s="34" t="n">
        <x:v>0</x:v>
      </x:c>
      <x:c r="J149" t="str">
        <x:v>unchanged</x:v>
      </x:c>
      <x:c r="K149" t="n">
        <x:v>0</x:v>
      </x:c>
      <x:c r="L149" t="n">
        <x:v>1</x:v>
      </x:c>
      <x:c r="M149" t="n">
        <x:v>0</x:v>
      </x:c>
      <x:c r="N149" t="n">
        <x:v>1</x:v>
      </x:c>
    </x:row>
    <x:row r="150">
      <x:c r="A150" t="str">
        <x:v>a1_new_minus_old</x:v>
      </x:c>
      <x:c r="B150" t="str">
        <x:v>unresolved_pronoun</x:v>
      </x:c>
      <x:c r="C150" t="str">
        <x:f>"qid:-3344541168958463110"</x:f>
        <x:v>qid:-3344541168958463110</x:v>
      </x:c>
      <x:c r="D150" s="14" t="str">
        <x:v>Who fought with an angel in the bible?</x:v>
      </x:c>
      <x:c r="E150" t="str">
        <x:v>old</x:v>
      </x:c>
      <x:c r="F150" t="str">
        <x:v>new</x:v>
      </x:c>
      <x:c r="G150" s="34" t="n">
        <x:v>0</x:v>
      </x:c>
      <x:c r="H150" s="34" t="n">
        <x:v>0</x:v>
      </x:c>
      <x:c r="I150" s="34" t="n">
        <x:v>0</x:v>
      </x:c>
      <x:c r="J150" t="str">
        <x:v>unchanged</x:v>
      </x:c>
      <x:c r="K150" t="n">
        <x:v>0</x:v>
      </x:c>
      <x:c r="L150" t="n">
        <x:v>3</x:v>
      </x:c>
      <x:c r="M150" t="n">
        <x:v>0</x:v>
      </x:c>
      <x:c r="N150" t="n">
        <x:v>1</x:v>
      </x:c>
    </x:row>
    <x:row r="151">
      <x:c r="A151" t="str">
        <x:v>a1_new_minus_old</x:v>
      </x:c>
      <x:c r="B151" t="str">
        <x:v>unresolved_pronoun</x:v>
      </x:c>
      <x:c r="C151" t="str">
        <x:f>"qid:-3904805932335139116"</x:f>
        <x:v>qid:-3904805932335139116</x:v>
      </x:c>
      <x:c r="D151" s="14" t="str">
        <x:v>What was the daughter's name on the jetsons?</x:v>
      </x:c>
      <x:c r="E151" t="str">
        <x:v>old</x:v>
      </x:c>
      <x:c r="F151" t="str">
        <x:v>new</x:v>
      </x:c>
      <x:c r="G151" s="34" t="n">
        <x:v>0</x:v>
      </x:c>
      <x:c r="H151" s="34" t="n">
        <x:v>0</x:v>
      </x:c>
      <x:c r="I151" s="34" t="n">
        <x:v>0</x:v>
      </x:c>
      <x:c r="J151" t="str">
        <x:v>unchanged</x:v>
      </x:c>
      <x:c r="K151" t="n">
        <x:v>0</x:v>
      </x:c>
      <x:c r="L151" t="n">
        <x:v>1</x:v>
      </x:c>
      <x:c r="M151" t="n">
        <x:v>0</x:v>
      </x:c>
      <x:c r="N151" t="n">
        <x:v>1</x:v>
      </x:c>
    </x:row>
    <x:row r="152">
      <x:c r="A152" t="str">
        <x:v>a1_new_minus_old</x:v>
      </x:c>
      <x:c r="B152" t="str">
        <x:v>unresolved_pronoun</x:v>
      </x:c>
      <x:c r="C152" t="str">
        <x:f>"qid:-4286108617234818000"</x:f>
        <x:v>qid:-4286108617234818000</x:v>
      </x:c>
      <x:c r="D152" s="14" t="str">
        <x:v>When does the new super troopers movie come out?</x:v>
      </x:c>
      <x:c r="E152" t="str">
        <x:v>old</x:v>
      </x:c>
      <x:c r="F152" t="str">
        <x:v>new</x:v>
      </x:c>
      <x:c r="G152" s="34" t="n">
        <x:v>0</x:v>
      </x:c>
      <x:c r="H152" s="34" t="n">
        <x:v>0</x:v>
      </x:c>
      <x:c r="I152" s="34" t="n">
        <x:v>0</x:v>
      </x:c>
      <x:c r="J152" t="str">
        <x:v>unchanged</x:v>
      </x:c>
      <x:c r="K152" t="n">
        <x:v>0</x:v>
      </x:c>
      <x:c r="L152" t="n">
        <x:v>1</x:v>
      </x:c>
      <x:c r="M152" t="n">
        <x:v>0</x:v>
      </x:c>
      <x:c r="N152" t="n">
        <x:v>1</x:v>
      </x:c>
    </x:row>
    <x:row r="153">
      <x:c r="A153" t="str">
        <x:v>a1_new_minus_old</x:v>
      </x:c>
      <x:c r="B153" t="str">
        <x:v>unresolved_pronoun</x:v>
      </x:c>
      <x:c r="C153" t="str">
        <x:f>"qid:-4456614433280196572"</x:f>
        <x:v>qid:-4456614433280196572</x:v>
      </x:c>
      <x:c r="D153" s="14" t="str">
        <x:v>What season does meredith and derek get married in grey's anatomy?</x:v>
      </x:c>
      <x:c r="E153" t="str">
        <x:v>old</x:v>
      </x:c>
      <x:c r="F153" t="str">
        <x:v>new</x:v>
      </x:c>
      <x:c r="G153" s="34" t="n">
        <x:v>0</x:v>
      </x:c>
      <x:c r="H153" s="34" t="n">
        <x:v>0</x:v>
      </x:c>
      <x:c r="I153" s="34" t="n">
        <x:v>0</x:v>
      </x:c>
      <x:c r="J153" t="str">
        <x:v>unchanged</x:v>
      </x:c>
      <x:c r="K153" t="n">
        <x:v>0</x:v>
      </x:c>
      <x:c r="L153" t="n">
        <x:v>1</x:v>
      </x:c>
      <x:c r="M153" t="n">
        <x:v>0</x:v>
      </x:c>
      <x:c r="N153" t="n">
        <x:v>1</x:v>
      </x:c>
    </x:row>
    <x:row r="154">
      <x:c r="A154" t="str">
        <x:v>a1_new_minus_old</x:v>
      </x:c>
      <x:c r="B154" t="str">
        <x:v>unresolved_pronoun</x:v>
      </x:c>
      <x:c r="C154" t="str">
        <x:f>"qid:-447198893588059167"</x:f>
        <x:v>qid:-447198893588059167</x:v>
      </x:c>
      <x:c r="D154" s="14" t="str">
        <x:v>Who played the father in leave it to beaver?</x:v>
      </x:c>
      <x:c r="E154" t="str">
        <x:v>old</x:v>
      </x:c>
      <x:c r="F154" t="str">
        <x:v>new</x:v>
      </x:c>
      <x:c r="G154" s="34" t="n">
        <x:v>0</x:v>
      </x:c>
      <x:c r="H154" s="34" t="n">
        <x:v>0</x:v>
      </x:c>
      <x:c r="I154" s="34" t="n">
        <x:v>0</x:v>
      </x:c>
      <x:c r="J154" t="str">
        <x:v>unchanged</x:v>
      </x:c>
      <x:c r="K154" t="n">
        <x:v>0</x:v>
      </x:c>
      <x:c r="L154" t="n">
        <x:v>2</x:v>
      </x:c>
      <x:c r="M154" t="n">
        <x:v>0</x:v>
      </x:c>
      <x:c r="N154" t="n">
        <x:v>1</x:v>
      </x:c>
    </x:row>
    <x:row r="155">
      <x:c r="A155" t="str">
        <x:v>a1_new_minus_old</x:v>
      </x:c>
      <x:c r="B155" t="str">
        <x:v>unresolved_pronoun</x:v>
      </x:c>
      <x:c r="C155" t="str">
        <x:f>"qid:-4649654703638364295"</x:f>
        <x:v>qid:-4649654703638364295</x:v>
      </x:c>
      <x:c r="D155" s="14" t="str">
        <x:v>Who made it through the divisional finals world of dance?</x:v>
      </x:c>
      <x:c r="E155" t="str">
        <x:v>old</x:v>
      </x:c>
      <x:c r="F155" t="str">
        <x:v>new</x:v>
      </x:c>
      <x:c r="G155" s="34" t="n">
        <x:v>0</x:v>
      </x:c>
      <x:c r="H155" s="34" t="n">
        <x:v>0</x:v>
      </x:c>
      <x:c r="I155" s="34" t="n">
        <x:v>0</x:v>
      </x:c>
      <x:c r="J155" t="str">
        <x:v>unchanged</x:v>
      </x:c>
      <x:c r="K155" t="n">
        <x:v>0</x:v>
      </x:c>
      <x:c r="L155" t="n">
        <x:v>1</x:v>
      </x:c>
      <x:c r="M155" t="n">
        <x:v>0</x:v>
      </x:c>
      <x:c r="N155" t="n">
        <x:v>1</x:v>
      </x:c>
    </x:row>
    <x:row r="156">
      <x:c r="A156" t="str">
        <x:v>a1_new_minus_old</x:v>
      </x:c>
      <x:c r="B156" t="str">
        <x:v>unresolved_pronoun</x:v>
      </x:c>
      <x:c r="C156" t="str">
        <x:f>"qid:-4873786835306543030"</x:f>
        <x:v>qid:-4873786835306543030</x:v>
      </x:c>
      <x:c r="D156" s="14" t="str">
        <x:v>Who is the chief minister of m. p?</x:v>
      </x:c>
      <x:c r="E156" t="str">
        <x:v>old</x:v>
      </x:c>
      <x:c r="F156" t="str">
        <x:v>new</x:v>
      </x:c>
      <x:c r="G156" s="34" t="n">
        <x:v>0</x:v>
      </x:c>
      <x:c r="H156" s="34" t="n">
        <x:v>0</x:v>
      </x:c>
      <x:c r="I156" s="34" t="n">
        <x:v>0</x:v>
      </x:c>
      <x:c r="J156" t="str">
        <x:v>unchanged</x:v>
      </x:c>
      <x:c r="K156" t="n">
        <x:v>0</x:v>
      </x:c>
      <x:c r="L156" t="n">
        <x:v>1</x:v>
      </x:c>
      <x:c r="M156" t="n">
        <x:v>0</x:v>
      </x:c>
      <x:c r="N156" t="n">
        <x:v>1</x:v>
      </x:c>
    </x:row>
    <x:row r="157">
      <x:c r="A157" t="str">
        <x:v>a1_new_minus_old</x:v>
      </x:c>
      <x:c r="B157" t="str">
        <x:v>unresolved_pronoun</x:v>
      </x:c>
      <x:c r="C157" t="str">
        <x:f>"qid:-4995398567532229571"</x:f>
        <x:v>qid:-4995398567532229571</x:v>
      </x:c>
      <x:c r="D157" s="14" t="str">
        <x:v>When did ragtime flourished in the united states?</x:v>
      </x:c>
      <x:c r="E157" t="str">
        <x:v>old</x:v>
      </x:c>
      <x:c r="F157" t="str">
        <x:v>new</x:v>
      </x:c>
      <x:c r="G157" s="34" t="n">
        <x:v>0</x:v>
      </x:c>
      <x:c r="H157" s="34" t="n">
        <x:v>0</x:v>
      </x:c>
      <x:c r="I157" s="34" t="n">
        <x:v>0</x:v>
      </x:c>
      <x:c r="J157" t="str">
        <x:v>unchanged</x:v>
      </x:c>
      <x:c r="K157" t="n">
        <x:v>0</x:v>
      </x:c>
      <x:c r="L157" t="n">
        <x:v>3</x:v>
      </x:c>
      <x:c r="M157" t="n">
        <x:v>0</x:v>
      </x:c>
      <x:c r="N157" t="n">
        <x:v>1</x:v>
      </x:c>
    </x:row>
    <x:row r="158">
      <x:c r="A158" t="str">
        <x:v>a1_new_minus_old</x:v>
      </x:c>
      <x:c r="B158" t="str">
        <x:v>unresolved_pronoun</x:v>
      </x:c>
      <x:c r="C158" t="str">
        <x:f>"qid:-5036947181661390825"</x:f>
        <x:v>qid:-5036947181661390825</x:v>
      </x:c>
      <x:c r="D158" s="14" t="str">
        <x:v>When was the vietnam veterans war memorial built?</x:v>
      </x:c>
      <x:c r="E158" t="str">
        <x:v>old</x:v>
      </x:c>
      <x:c r="F158" t="str">
        <x:v>new</x:v>
      </x:c>
      <x:c r="G158" s="34" t="n">
        <x:v>0</x:v>
      </x:c>
      <x:c r="H158" s="34" t="n">
        <x:v>0</x:v>
      </x:c>
      <x:c r="I158" s="34" t="n">
        <x:v>0</x:v>
      </x:c>
      <x:c r="J158" t="str">
        <x:v>unchanged</x:v>
      </x:c>
      <x:c r="K158" t="n">
        <x:v>0</x:v>
      </x:c>
      <x:c r="L158" t="n">
        <x:v>1</x:v>
      </x:c>
      <x:c r="M158" t="n">
        <x:v>0</x:v>
      </x:c>
      <x:c r="N158" t="n">
        <x:v>1</x:v>
      </x:c>
    </x:row>
    <x:row r="159">
      <x:c r="A159" t="str">
        <x:v>a1_new_minus_old</x:v>
      </x:c>
      <x:c r="B159" t="str">
        <x:v>unresolved_pronoun</x:v>
      </x:c>
      <x:c r="C159" t="str">
        <x:f>"qid:-5116644172939113883"</x:f>
        <x:v>qid:-5116644172939113883</x:v>
      </x:c>
      <x:c r="D159" s="14" t="str">
        <x:v>Who raps in the gorillaz song clint eastwood?</x:v>
      </x:c>
      <x:c r="E159" t="str">
        <x:v>old</x:v>
      </x:c>
      <x:c r="F159" t="str">
        <x:v>new</x:v>
      </x:c>
      <x:c r="G159" s="34" t="n">
        <x:v>0</x:v>
      </x:c>
      <x:c r="H159" s="34" t="n">
        <x:v>0</x:v>
      </x:c>
      <x:c r="I159" s="34" t="n">
        <x:v>0</x:v>
      </x:c>
      <x:c r="J159" t="str">
        <x:v>unchanged</x:v>
      </x:c>
      <x:c r="K159" t="n">
        <x:v>0</x:v>
      </x:c>
      <x:c r="L159" t="n">
        <x:v>1</x:v>
      </x:c>
      <x:c r="M159" t="n">
        <x:v>0</x:v>
      </x:c>
      <x:c r="N159" t="n">
        <x:v>1</x:v>
      </x:c>
    </x:row>
    <x:row r="160">
      <x:c r="A160" t="str">
        <x:v>a1_new_minus_old</x:v>
      </x:c>
      <x:c r="B160" t="str">
        <x:v>unresolved_pronoun</x:v>
      </x:c>
      <x:c r="C160" t="str">
        <x:f>"qid:-5333049627570569397"</x:f>
        <x:v>qid:-5333049627570569397</x:v>
      </x:c>
      <x:c r="D160" s="14" t="str">
        <x:v>When did the song can't touch this come out?</x:v>
      </x:c>
      <x:c r="E160" t="str">
        <x:v>old</x:v>
      </x:c>
      <x:c r="F160" t="str">
        <x:v>new</x:v>
      </x:c>
      <x:c r="G160" s="34" t="n">
        <x:v>0</x:v>
      </x:c>
      <x:c r="H160" s="34" t="n">
        <x:v>0</x:v>
      </x:c>
      <x:c r="I160" s="34" t="n">
        <x:v>0</x:v>
      </x:c>
      <x:c r="J160" t="str">
        <x:v>unchanged</x:v>
      </x:c>
      <x:c r="K160" t="n">
        <x:v>0</x:v>
      </x:c>
      <x:c r="L160" t="n">
        <x:v>1</x:v>
      </x:c>
      <x:c r="M160" t="n">
        <x:v>0</x:v>
      </x:c>
      <x:c r="N160" t="n">
        <x:v>1</x:v>
      </x:c>
    </x:row>
    <x:row r="161">
      <x:c r="A161" t="str">
        <x:v>a1_new_minus_old</x:v>
      </x:c>
      <x:c r="B161" t="str">
        <x:v>unresolved_pronoun</x:v>
      </x:c>
      <x:c r="C161" t="str">
        <x:f>"qid:-5564120845047915486"</x:f>
        <x:v>qid:-5564120845047915486</x:v>
      </x:c>
      <x:c r="D161" s="14" t="str">
        <x:v>Where do you find a simple gear train?</x:v>
      </x:c>
      <x:c r="E161" t="str">
        <x:v>old</x:v>
      </x:c>
      <x:c r="F161" t="str">
        <x:v>new</x:v>
      </x:c>
      <x:c r="G161" s="34" t="n">
        <x:v>0</x:v>
      </x:c>
      <x:c r="H161" s="34" t="n">
        <x:v>0</x:v>
      </x:c>
      <x:c r="I161" s="34" t="n">
        <x:v>0</x:v>
      </x:c>
      <x:c r="J161" t="str">
        <x:v>unchanged</x:v>
      </x:c>
      <x:c r="K161" t="n">
        <x:v>0</x:v>
      </x:c>
      <x:c r="L161" t="n">
        <x:v>3</x:v>
      </x:c>
      <x:c r="M161" t="n">
        <x:v>0</x:v>
      </x:c>
      <x:c r="N161" t="n">
        <x:v>1</x:v>
      </x:c>
    </x:row>
    <x:row r="162">
      <x:c r="A162" t="str">
        <x:v>a1_new_minus_old</x:v>
      </x:c>
      <x:c r="B162" t="str">
        <x:v>unresolved_pronoun</x:v>
      </x:c>
      <x:c r="C162" t="str">
        <x:f>"qid:-5842265707961388968"</x:f>
        <x:v>qid:-5842265707961388968</x:v>
      </x:c>
      <x:c r="D162" s="14" t="str">
        <x:v>Who beat villanova last year in the ncaa tournament?</x:v>
      </x:c>
      <x:c r="E162" t="str">
        <x:v>old</x:v>
      </x:c>
      <x:c r="F162" t="str">
        <x:v>new</x:v>
      </x:c>
      <x:c r="G162" s="34" t="n">
        <x:v>0.2</x:v>
      </x:c>
      <x:c r="H162" s="34" t="n">
        <x:v>0</x:v>
      </x:c>
      <x:c r="I162" s="34" t="n">
        <x:v>-0.2</x:v>
      </x:c>
      <x:c r="J162" t="str">
        <x:v>improved</x:v>
      </x:c>
      <x:c r="K162" t="n">
        <x:v>1</x:v>
      </x:c>
      <x:c r="L162" t="n">
        <x:v>5</x:v>
      </x:c>
      <x:c r="M162" t="n">
        <x:v>0</x:v>
      </x:c>
      <x:c r="N162" t="n">
        <x:v>1</x:v>
      </x:c>
    </x:row>
    <x:row r="163">
      <x:c r="A163" t="str">
        <x:v>a1_new_minus_old</x:v>
      </x:c>
      <x:c r="B163" t="str">
        <x:v>unresolved_pronoun</x:v>
      </x:c>
      <x:c r="C163" t="str">
        <x:f>"qid:-5942352520455511076"</x:f>
        <x:v>qid:-5942352520455511076</x:v>
      </x:c>
      <x:c r="D163" s="14" t="str">
        <x:v>Where can adipose tissue be found in the body?</x:v>
      </x:c>
      <x:c r="E163" t="str">
        <x:v>old</x:v>
      </x:c>
      <x:c r="F163" t="str">
        <x:v>new</x:v>
      </x:c>
      <x:c r="G163" s="34" t="n">
        <x:v>0.3333333333333333</x:v>
      </x:c>
      <x:c r="H163" s="34" t="n">
        <x:v>0</x:v>
      </x:c>
      <x:c r="I163" s="34" t="n">
        <x:v>-0.3333333333333333</x:v>
      </x:c>
      <x:c r="J163" t="str">
        <x:v>improved</x:v>
      </x:c>
      <x:c r="K163" t="n">
        <x:v>1</x:v>
      </x:c>
      <x:c r="L163" t="n">
        <x:v>3</x:v>
      </x:c>
      <x:c r="M163" t="n">
        <x:v>0</x:v>
      </x:c>
      <x:c r="N163" t="n">
        <x:v>1</x:v>
      </x:c>
    </x:row>
    <x:row r="164">
      <x:c r="A164" t="str">
        <x:v>a1_new_minus_old</x:v>
      </x:c>
      <x:c r="B164" t="str">
        <x:v>unresolved_pronoun</x:v>
      </x:c>
      <x:c r="C164" t="str">
        <x:f>"qid:-62521546794442829"</x:f>
        <x:v>qid:-62521546794442829</x:v>
      </x:c>
      <x:c r="D164" s="14" t="str">
        <x:v>For whom was the battle of king's mountain a victory?</x:v>
      </x:c>
      <x:c r="E164" t="str">
        <x:v>old</x:v>
      </x:c>
      <x:c r="F164" t="str">
        <x:v>new</x:v>
      </x:c>
      <x:c r="G164" s="34" t="n">
        <x:v>0</x:v>
      </x:c>
      <x:c r="H164" s="34" t="n">
        <x:v>0</x:v>
      </x:c>
      <x:c r="I164" s="34" t="n">
        <x:v>0</x:v>
      </x:c>
      <x:c r="J164" t="str">
        <x:v>unchanged</x:v>
      </x:c>
      <x:c r="K164" t="n">
        <x:v>0</x:v>
      </x:c>
      <x:c r="L164" t="n">
        <x:v>1</x:v>
      </x:c>
      <x:c r="M164" t="n">
        <x:v>0</x:v>
      </x:c>
      <x:c r="N164" t="n">
        <x:v>1</x:v>
      </x:c>
    </x:row>
    <x:row r="165">
      <x:c r="A165" t="str">
        <x:v>a1_new_minus_old</x:v>
      </x:c>
      <x:c r="B165" t="str">
        <x:v>unresolved_pronoun</x:v>
      </x:c>
      <x:c r="C165" t="str">
        <x:f>"qid:-6702031255040326279"</x:f>
        <x:v>qid:-6702031255040326279</x:v>
      </x:c>
      <x:c r="D165" s="14" t="str">
        <x:v>Which of the animal is a carrier of h1n1?</x:v>
      </x:c>
      <x:c r="E165" t="str">
        <x:v>old</x:v>
      </x:c>
      <x:c r="F165" t="str">
        <x:v>new</x:v>
      </x:c>
      <x:c r="G165" s="34" t="n">
        <x:v>0</x:v>
      </x:c>
      <x:c r="H165" s="34" t="n">
        <x:v>0</x:v>
      </x:c>
      <x:c r="I165" s="34" t="n">
        <x:v>0</x:v>
      </x:c>
      <x:c r="J165" t="str">
        <x:v>unchanged</x:v>
      </x:c>
      <x:c r="K165" t="n">
        <x:v>0</x:v>
      </x:c>
      <x:c r="L165" t="n">
        <x:v>2</x:v>
      </x:c>
      <x:c r="M165" t="n">
        <x:v>0</x:v>
      </x:c>
      <x:c r="N165" t="n">
        <x:v>1</x:v>
      </x:c>
    </x:row>
    <x:row r="166">
      <x:c r="A166" t="str">
        <x:v>a1_new_minus_old</x:v>
      </x:c>
      <x:c r="B166" t="str">
        <x:v>unresolved_pronoun</x:v>
      </x:c>
      <x:c r="C166" t="str">
        <x:f>"qid:-728189424752983312"</x:f>
        <x:v>qid:-728189424752983312</x:v>
      </x:c>
      <x:c r="D166" s="14" t="str">
        <x:v>Where did the term bye felicia come from?</x:v>
      </x:c>
      <x:c r="E166" t="str">
        <x:v>old</x:v>
      </x:c>
      <x:c r="F166" t="str">
        <x:v>new</x:v>
      </x:c>
      <x:c r="G166" s="34" t="n">
        <x:v>0.5</x:v>
      </x:c>
      <x:c r="H166" s="34" t="n">
        <x:v>0</x:v>
      </x:c>
      <x:c r="I166" s="34" t="n">
        <x:v>-0.5</x:v>
      </x:c>
      <x:c r="J166" t="str">
        <x:v>improved</x:v>
      </x:c>
      <x:c r="K166" t="n">
        <x:v>1</x:v>
      </x:c>
      <x:c r="L166" t="n">
        <x:v>2</x:v>
      </x:c>
      <x:c r="M166" t="n">
        <x:v>0</x:v>
      </x:c>
      <x:c r="N166" t="n">
        <x:v>1</x:v>
      </x:c>
    </x:row>
    <x:row r="167">
      <x:c r="A167" t="str">
        <x:v>a1_new_minus_old</x:v>
      </x:c>
      <x:c r="B167" t="str">
        <x:v>unresolved_pronoun</x:v>
      </x:c>
      <x:c r="C167" t="str">
        <x:f>"qid:-7699606393193219666"</x:f>
        <x:v>qid:-7699606393193219666</x:v>
      </x:c>
      <x:c r="D167" s="14" t="str">
        <x:v>Who played cowboy curtis on pee wee herman?</x:v>
      </x:c>
      <x:c r="E167" t="str">
        <x:v>old</x:v>
      </x:c>
      <x:c r="F167" t="str">
        <x:v>new</x:v>
      </x:c>
      <x:c r="G167" s="34" t="n">
        <x:v>0</x:v>
      </x:c>
      <x:c r="H167" s="34" t="n">
        <x:v>0</x:v>
      </x:c>
      <x:c r="I167" s="34" t="n">
        <x:v>0</x:v>
      </x:c>
      <x:c r="J167" t="str">
        <x:v>unchanged</x:v>
      </x:c>
      <x:c r="K167" t="n">
        <x:v>0</x:v>
      </x:c>
      <x:c r="L167" t="n">
        <x:v>1</x:v>
      </x:c>
      <x:c r="M167" t="n">
        <x:v>0</x:v>
      </x:c>
      <x:c r="N167" t="n">
        <x:v>2</x:v>
      </x:c>
    </x:row>
    <x:row r="168">
      <x:c r="A168" t="str">
        <x:v>a1_new_minus_old</x:v>
      </x:c>
      <x:c r="B168" t="str">
        <x:v>unresolved_pronoun</x:v>
      </x:c>
      <x:c r="C168" t="str">
        <x:f>"qid:-7824075627194227170"</x:f>
        <x:v>qid:-7824075627194227170</x:v>
      </x:c>
      <x:c r="D168" s="14" t="str">
        <x:v>When was the commission fir sc/st established?</x:v>
      </x:c>
      <x:c r="E168" t="str">
        <x:v>old</x:v>
      </x:c>
      <x:c r="F168" t="str">
        <x:v>new</x:v>
      </x:c>
      <x:c r="G168" s="34" t="n">
        <x:v>0.25</x:v>
      </x:c>
      <x:c r="H168" s="34" t="n">
        <x:v>0</x:v>
      </x:c>
      <x:c r="I168" s="34" t="n">
        <x:v>-0.25</x:v>
      </x:c>
      <x:c r="J168" t="str">
        <x:v>improved</x:v>
      </x:c>
      <x:c r="K168" t="n">
        <x:v>1</x:v>
      </x:c>
      <x:c r="L168" t="n">
        <x:v>4</x:v>
      </x:c>
      <x:c r="M168" t="n">
        <x:v>0</x:v>
      </x:c>
      <x:c r="N168" t="n">
        <x:v>1</x:v>
      </x:c>
    </x:row>
    <x:row r="169">
      <x:c r="A169" t="str">
        <x:v>a1_new_minus_old</x:v>
      </x:c>
      <x:c r="B169" t="str">
        <x:v>unresolved_pronoun</x:v>
      </x:c>
      <x:c r="C169" t="str">
        <x:f>"qid:-8286966211355378010"</x:f>
        <x:v>qid:-8286966211355378010</x:v>
      </x:c>
      <x:c r="D169" s="14" t="str">
        <x:v>What is the objective of tour de france?</x:v>
      </x:c>
      <x:c r="E169" t="str">
        <x:v>old</x:v>
      </x:c>
      <x:c r="F169" t="str">
        <x:v>new</x:v>
      </x:c>
      <x:c r="G169" s="34" t="n">
        <x:v>0</x:v>
      </x:c>
      <x:c r="H169" s="34" t="n">
        <x:v>0</x:v>
      </x:c>
      <x:c r="I169" s="34" t="n">
        <x:v>0</x:v>
      </x:c>
      <x:c r="J169" t="str">
        <x:v>unchanged</x:v>
      </x:c>
      <x:c r="K169" t="n">
        <x:v>0</x:v>
      </x:c>
      <x:c r="L169" t="n">
        <x:v>2</x:v>
      </x:c>
      <x:c r="M169" t="n">
        <x:v>0</x:v>
      </x:c>
      <x:c r="N169" t="n">
        <x:v>1</x:v>
      </x:c>
    </x:row>
    <x:row r="170">
      <x:c r="A170" t="str">
        <x:v>a1_new_minus_old</x:v>
      </x:c>
      <x:c r="B170" t="str">
        <x:v>unresolved_pronoun</x:v>
      </x:c>
      <x:c r="C170" t="str">
        <x:f>"qid:-9141149438582194391"</x:f>
        <x:v>qid:-9141149438582194391</x:v>
      </x:c>
      <x:c r="D170" s="14" t="str">
        <x:v>Who has scored the highest number of runs in test cricket?</x:v>
      </x:c>
      <x:c r="E170" t="str">
        <x:v>old</x:v>
      </x:c>
      <x:c r="F170" t="str">
        <x:v>new</x:v>
      </x:c>
      <x:c r="G170" s="34" t="n">
        <x:v>0.3333333333333333</x:v>
      </x:c>
      <x:c r="H170" s="34" t="n">
        <x:v>0</x:v>
      </x:c>
      <x:c r="I170" s="34" t="n">
        <x:v>-0.3333333333333333</x:v>
      </x:c>
      <x:c r="J170" t="str">
        <x:v>improved</x:v>
      </x:c>
      <x:c r="K170" t="n">
        <x:v>1</x:v>
      </x:c>
      <x:c r="L170" t="n">
        <x:v>3</x:v>
      </x:c>
      <x:c r="M170" t="n">
        <x:v>0</x:v>
      </x:c>
      <x:c r="N170" t="n">
        <x:v>4</x:v>
      </x:c>
    </x:row>
    <x:row r="171">
      <x:c r="A171" t="str">
        <x:v>a1_new_minus_old</x:v>
      </x:c>
      <x:c r="B171" t="str">
        <x:v>unresolved_pronoun</x:v>
      </x:c>
      <x:c r="C171" t="str">
        <x:f>"qid:-99543908387769967"</x:f>
        <x:v>qid:-99543908387769967</x:v>
      </x:c>
      <x:c r="D171" s="14" t="str">
        <x:v>Who does sansa marry on game of thrones?</x:v>
      </x:c>
      <x:c r="E171" t="str">
        <x:v>old</x:v>
      </x:c>
      <x:c r="F171" t="str">
        <x:v>new</x:v>
      </x:c>
      <x:c r="G171" s="34" t="n">
        <x:v>0</x:v>
      </x:c>
      <x:c r="H171" s="34" t="n">
        <x:v>0</x:v>
      </x:c>
      <x:c r="I171" s="34" t="n">
        <x:v>0</x:v>
      </x:c>
      <x:c r="J171" t="str">
        <x:v>unchanged</x:v>
      </x:c>
      <x:c r="K171" t="n">
        <x:v>0</x:v>
      </x:c>
      <x:c r="L171" t="n">
        <x:v>4</x:v>
      </x:c>
      <x:c r="M171" t="n">
        <x:v>0</x:v>
      </x:c>
      <x:c r="N171" t="n">
        <x:v>1</x:v>
      </x:c>
    </x:row>
    <x:row r="172">
      <x:c r="A172" t="str">
        <x:v>a1_new_minus_old</x:v>
      </x:c>
      <x:c r="B172" t="str">
        <x:v>unresolved_pronoun</x:v>
      </x:c>
      <x:c r="C172" t="str">
        <x:f>"qid:16881061444712536"</x:f>
        <x:v>qid:16881061444712536</x:v>
      </x:c>
      <x:c r="D172" s="14" t="str">
        <x:v>Where does the amazon river start and finish?</x:v>
      </x:c>
      <x:c r="E172" t="str">
        <x:v>old</x:v>
      </x:c>
      <x:c r="F172" t="str">
        <x:v>new</x:v>
      </x:c>
      <x:c r="G172" s="34" t="n">
        <x:v>0.3333333333333333</x:v>
      </x:c>
      <x:c r="H172" s="34" t="n">
        <x:v>0</x:v>
      </x:c>
      <x:c r="I172" s="34" t="n">
        <x:v>-0.3333333333333333</x:v>
      </x:c>
      <x:c r="J172" t="str">
        <x:v>improved</x:v>
      </x:c>
      <x:c r="K172" t="n">
        <x:v>1</x:v>
      </x:c>
      <x:c r="L172" t="n">
        <x:v>3</x:v>
      </x:c>
      <x:c r="M172" t="n">
        <x:v>0</x:v>
      </x:c>
      <x:c r="N172" t="n">
        <x:v>2</x:v>
      </x:c>
    </x:row>
    <x:row r="173">
      <x:c r="A173" t="str">
        <x:v>a1_new_minus_old</x:v>
      </x:c>
      <x:c r="B173" t="str">
        <x:v>unresolved_pronoun</x:v>
      </x:c>
      <x:c r="C173" t="str">
        <x:f>"qid:1763163294931046731"</x:f>
        <x:v>qid:1763163294931046731</x:v>
      </x:c>
      <x:c r="D173" s="14" t="str">
        <x:v>Who played violet rutherford on leave it to beaver?</x:v>
      </x:c>
      <x:c r="E173" t="str">
        <x:v>old</x:v>
      </x:c>
      <x:c r="F173" t="str">
        <x:v>new</x:v>
      </x:c>
      <x:c r="G173" s="34" t="n">
        <x:v>0</x:v>
      </x:c>
      <x:c r="H173" s="34" t="n">
        <x:v>0</x:v>
      </x:c>
      <x:c r="I173" s="34" t="n">
        <x:v>0</x:v>
      </x:c>
      <x:c r="J173" t="str">
        <x:v>unchanged</x:v>
      </x:c>
      <x:c r="K173" t="n">
        <x:v>0</x:v>
      </x:c>
      <x:c r="L173" t="n">
        <x:v>1</x:v>
      </x:c>
      <x:c r="M173" t="n">
        <x:v>0</x:v>
      </x:c>
      <x:c r="N173" t="n">
        <x:v>1</x:v>
      </x:c>
    </x:row>
    <x:row r="174">
      <x:c r="A174" t="str">
        <x:v>a1_new_minus_old</x:v>
      </x:c>
      <x:c r="B174" t="str">
        <x:v>unresolved_pronoun</x:v>
      </x:c>
      <x:c r="C174" t="str">
        <x:f>"qid:2221044921312683785"</x:f>
        <x:v>qid:2221044921312683785</x:v>
      </x:c>
      <x:c r="D174" s="14" t="str">
        <x:v>When did the apple tv 4k come out?</x:v>
      </x:c>
      <x:c r="E174" t="str">
        <x:v>old</x:v>
      </x:c>
      <x:c r="F174" t="str">
        <x:v>new</x:v>
      </x:c>
      <x:c r="G174" s="34" t="n">
        <x:v>0</x:v>
      </x:c>
      <x:c r="H174" s="34" t="n">
        <x:v>0</x:v>
      </x:c>
      <x:c r="I174" s="34" t="n">
        <x:v>0</x:v>
      </x:c>
      <x:c r="J174" t="str">
        <x:v>unchanged</x:v>
      </x:c>
      <x:c r="K174" t="n">
        <x:v>0</x:v>
      </x:c>
      <x:c r="L174" t="n">
        <x:v>3</x:v>
      </x:c>
      <x:c r="M174" t="n">
        <x:v>0</x:v>
      </x:c>
      <x:c r="N174" t="n">
        <x:v>1</x:v>
      </x:c>
    </x:row>
    <x:row r="175">
      <x:c r="A175" t="str">
        <x:v>a1_new_minus_old</x:v>
      </x:c>
      <x:c r="B175" t="str">
        <x:v>unresolved_pronoun</x:v>
      </x:c>
      <x:c r="C175" t="str">
        <x:f>"qid:3605104154738105404"</x:f>
        <x:v>qid:3605104154738105404</x:v>
      </x:c>
      <x:c r="D175" s="14" t="str">
        <x:v>What episode does jason gideon die in criminal minds?</x:v>
      </x:c>
      <x:c r="E175" t="str">
        <x:v>old</x:v>
      </x:c>
      <x:c r="F175" t="str">
        <x:v>new</x:v>
      </x:c>
      <x:c r="G175" s="34" t="n">
        <x:v>0</x:v>
      </x:c>
      <x:c r="H175" s="34" t="n">
        <x:v>0</x:v>
      </x:c>
      <x:c r="I175" s="34" t="n">
        <x:v>0</x:v>
      </x:c>
      <x:c r="J175" t="str">
        <x:v>unchanged</x:v>
      </x:c>
      <x:c r="K175" t="n">
        <x:v>0</x:v>
      </x:c>
      <x:c r="L175" t="n">
        <x:v>1</x:v>
      </x:c>
      <x:c r="M175" t="n">
        <x:v>0</x:v>
      </x:c>
      <x:c r="N175" t="n">
        <x:v>1</x:v>
      </x:c>
    </x:row>
    <x:row r="176">
      <x:c r="A176" t="str">
        <x:v>a1_new_minus_old</x:v>
      </x:c>
      <x:c r="B176" t="str">
        <x:v>unresolved_pronoun</x:v>
      </x:c>
      <x:c r="C176" t="str">
        <x:f>"qid:3643093465010420057"</x:f>
        <x:v>qid:3643093465010420057</x:v>
      </x:c>
      <x:c r="D176" s="14" t="str">
        <x:v>What city in texas has the highest elevation?</x:v>
      </x:c>
      <x:c r="E176" t="str">
        <x:v>old</x:v>
      </x:c>
      <x:c r="F176" t="str">
        <x:v>new</x:v>
      </x:c>
      <x:c r="G176" s="34" t="n">
        <x:v>0</x:v>
      </x:c>
      <x:c r="H176" s="34" t="n">
        <x:v>0</x:v>
      </x:c>
      <x:c r="I176" s="34" t="n">
        <x:v>0</x:v>
      </x:c>
      <x:c r="J176" t="str">
        <x:v>unchanged</x:v>
      </x:c>
      <x:c r="K176" t="n">
        <x:v>0</x:v>
      </x:c>
      <x:c r="L176" t="n">
        <x:v>1</x:v>
      </x:c>
      <x:c r="M176" t="n">
        <x:v>0</x:v>
      </x:c>
      <x:c r="N176" t="n">
        <x:v>2</x:v>
      </x:c>
    </x:row>
    <x:row r="177">
      <x:c r="A177" t="str">
        <x:v>a1_new_minus_old</x:v>
      </x:c>
      <x:c r="B177" t="str">
        <x:v>unresolved_pronoun</x:v>
      </x:c>
      <x:c r="C177" t="str">
        <x:f>"qid:4150448921344430432"</x:f>
        <x:v>qid:4150448921344430432</x:v>
      </x:c>
      <x:c r="D177" s="14" t="str">
        <x:v>Who were the original twins in everybody loves raymond?</x:v>
      </x:c>
      <x:c r="E177" t="str">
        <x:v>old</x:v>
      </x:c>
      <x:c r="F177" t="str">
        <x:v>new</x:v>
      </x:c>
      <x:c r="G177" s="34" t="n">
        <x:v>0.3333333333333333</x:v>
      </x:c>
      <x:c r="H177" s="34" t="n">
        <x:v>0</x:v>
      </x:c>
      <x:c r="I177" s="34" t="n">
        <x:v>-0.3333333333333333</x:v>
      </x:c>
      <x:c r="J177" t="str">
        <x:v>improved</x:v>
      </x:c>
      <x:c r="K177" t="n">
        <x:v>1</x:v>
      </x:c>
      <x:c r="L177" t="n">
        <x:v>3</x:v>
      </x:c>
      <x:c r="M177" t="n">
        <x:v>0</x:v>
      </x:c>
      <x:c r="N177" t="n">
        <x:v>1</x:v>
      </x:c>
    </x:row>
    <x:row r="178">
      <x:c r="A178" t="str">
        <x:v>a1_new_minus_old</x:v>
      </x:c>
      <x:c r="B178" t="str">
        <x:v>unresolved_pronoun</x:v>
      </x:c>
      <x:c r="C178" t="str">
        <x:f>"qid:4183252176965080529"</x:f>
        <x:v>qid:4183252176965080529</x:v>
      </x:c>
      <x:c r="D178" s="14" t="str">
        <x:v>When does the new independence day come out?</x:v>
      </x:c>
      <x:c r="E178" t="str">
        <x:v>old</x:v>
      </x:c>
      <x:c r="F178" t="str">
        <x:v>new</x:v>
      </x:c>
      <x:c r="G178" s="34" t="n">
        <x:v>0.3333333333333333</x:v>
      </x:c>
      <x:c r="H178" s="34" t="n">
        <x:v>0</x:v>
      </x:c>
      <x:c r="I178" s="34" t="n">
        <x:v>-0.3333333333333333</x:v>
      </x:c>
      <x:c r="J178" t="str">
        <x:v>improved</x:v>
      </x:c>
      <x:c r="K178" t="n">
        <x:v>1</x:v>
      </x:c>
      <x:c r="L178" t="n">
        <x:v>3</x:v>
      </x:c>
      <x:c r="M178" t="n">
        <x:v>0</x:v>
      </x:c>
      <x:c r="N178" t="n">
        <x:v>1</x:v>
      </x:c>
    </x:row>
    <x:row r="179">
      <x:c r="A179" t="str">
        <x:v>a1_new_minus_old</x:v>
      </x:c>
      <x:c r="B179" t="str">
        <x:v>unresolved_pronoun</x:v>
      </x:c>
      <x:c r="C179" t="str">
        <x:f>"qid:4474597907223412132"</x:f>
        <x:v>qid:4474597907223412132</x:v>
      </x:c>
      <x:c r="D179" s="14" t="str">
        <x:v>Who were the two astronauts who stayed a year on the iss?</x:v>
      </x:c>
      <x:c r="E179" t="str">
        <x:v>old</x:v>
      </x:c>
      <x:c r="F179" t="str">
        <x:v>new</x:v>
      </x:c>
      <x:c r="G179" s="34" t="n">
        <x:v>0</x:v>
      </x:c>
      <x:c r="H179" s="34" t="n">
        <x:v>0</x:v>
      </x:c>
      <x:c r="I179" s="34" t="n">
        <x:v>0</x:v>
      </x:c>
      <x:c r="J179" t="str">
        <x:v>unchanged</x:v>
      </x:c>
      <x:c r="K179" t="n">
        <x:v>0</x:v>
      </x:c>
      <x:c r="L179" t="n">
        <x:v>2</x:v>
      </x:c>
      <x:c r="M179" t="n">
        <x:v>0</x:v>
      </x:c>
      <x:c r="N179" t="n">
        <x:v>1</x:v>
      </x:c>
    </x:row>
    <x:row r="180">
      <x:c r="A180" t="str">
        <x:v>a1_new_minus_old</x:v>
      </x:c>
      <x:c r="B180" t="str">
        <x:v>unresolved_pronoun</x:v>
      </x:c>
      <x:c r="C180" t="str">
        <x:f>"qid:586233275728240023"</x:f>
        <x:v>qid:586233275728240023</x:v>
      </x:c>
      <x:c r="D180" s="14" t="str">
        <x:v>What is the os of samsung smart tv?</x:v>
      </x:c>
      <x:c r="E180" t="str">
        <x:v>old</x:v>
      </x:c>
      <x:c r="F180" t="str">
        <x:v>new</x:v>
      </x:c>
      <x:c r="G180" s="34" t="n">
        <x:v>0</x:v>
      </x:c>
      <x:c r="H180" s="34" t="n">
        <x:v>0</x:v>
      </x:c>
      <x:c r="I180" s="34" t="n">
        <x:v>0</x:v>
      </x:c>
      <x:c r="J180" t="str">
        <x:v>unchanged</x:v>
      </x:c>
      <x:c r="K180" t="n">
        <x:v>0</x:v>
      </x:c>
      <x:c r="L180" t="n">
        <x:v>1</x:v>
      </x:c>
      <x:c r="M180" t="n">
        <x:v>0</x:v>
      </x:c>
      <x:c r="N180" t="n">
        <x:v>1</x:v>
      </x:c>
    </x:row>
    <x:row r="181">
      <x:c r="A181" t="str">
        <x:v>a1_new_minus_old</x:v>
      </x:c>
      <x:c r="B181" t="str">
        <x:v>unresolved_pronoun</x:v>
      </x:c>
      <x:c r="C181" t="str">
        <x:f>"qid:6257465985316109835"</x:f>
        <x:v>qid:6257465985316109835</x:v>
      </x:c>
      <x:c r="D181" s="14" t="str">
        <x:v>Who is the main character in liv and maddie?</x:v>
      </x:c>
      <x:c r="E181" t="str">
        <x:v>old</x:v>
      </x:c>
      <x:c r="F181" t="str">
        <x:v>new</x:v>
      </x:c>
      <x:c r="G181" s="34" t="n">
        <x:v>0</x:v>
      </x:c>
      <x:c r="H181" s="34" t="n">
        <x:v>0</x:v>
      </x:c>
      <x:c r="I181" s="34" t="n">
        <x:v>0</x:v>
      </x:c>
      <x:c r="J181" t="str">
        <x:v>unchanged</x:v>
      </x:c>
      <x:c r="K181" t="n">
        <x:v>0</x:v>
      </x:c>
      <x:c r="L181" t="n">
        <x:v>1</x:v>
      </x:c>
      <x:c r="M181" t="n">
        <x:v>0</x:v>
      </x:c>
      <x:c r="N181" t="n">
        <x:v>1</x:v>
      </x:c>
    </x:row>
    <x:row r="182">
      <x:c r="A182" t="str">
        <x:v>a1_new_minus_old</x:v>
      </x:c>
      <x:c r="B182" t="str">
        <x:v>unresolved_pronoun</x:v>
      </x:c>
      <x:c r="C182" t="str">
        <x:f>"qid:6514531923811923780"</x:f>
        <x:v>qid:6514531923811923780</x:v>
      </x:c>
      <x:c r="D182" s="14" t="str">
        <x:v>When does disney's food and wine festival end?</x:v>
      </x:c>
      <x:c r="E182" t="str">
        <x:v>old</x:v>
      </x:c>
      <x:c r="F182" t="str">
        <x:v>new</x:v>
      </x:c>
      <x:c r="G182" s="34" t="n">
        <x:v>0</x:v>
      </x:c>
      <x:c r="H182" s="34" t="n">
        <x:v>0</x:v>
      </x:c>
      <x:c r="I182" s="34" t="n">
        <x:v>0</x:v>
      </x:c>
      <x:c r="J182" t="str">
        <x:v>unchanged</x:v>
      </x:c>
      <x:c r="K182" t="n">
        <x:v>0</x:v>
      </x:c>
      <x:c r="L182" t="n">
        <x:v>2</x:v>
      </x:c>
      <x:c r="M182" t="n">
        <x:v>0</x:v>
      </x:c>
      <x:c r="N182" t="n">
        <x:v>1</x:v>
      </x:c>
    </x:row>
    <x:row r="183">
      <x:c r="A183" t="str">
        <x:v>a1_new_minus_old</x:v>
      </x:c>
      <x:c r="B183" t="str">
        <x:v>unresolved_pronoun</x:v>
      </x:c>
      <x:c r="C183" t="str">
        <x:f>"qid:6619094979746662600"</x:f>
        <x:v>qid:6619094979746662600</x:v>
      </x:c>
      <x:c r="D183" s="14" t="str">
        <x:v>Who wrote brown eyes by destiny's child?</x:v>
      </x:c>
      <x:c r="E183" t="str">
        <x:v>old</x:v>
      </x:c>
      <x:c r="F183" t="str">
        <x:v>new</x:v>
      </x:c>
      <x:c r="G183" s="34" t="n">
        <x:v>0</x:v>
      </x:c>
      <x:c r="H183" s="34" t="n">
        <x:v>0</x:v>
      </x:c>
      <x:c r="I183" s="34" t="n">
        <x:v>0</x:v>
      </x:c>
      <x:c r="J183" t="str">
        <x:v>unchanged</x:v>
      </x:c>
      <x:c r="K183" t="n">
        <x:v>0</x:v>
      </x:c>
      <x:c r="L183" t="n">
        <x:v>3</x:v>
      </x:c>
      <x:c r="M183" t="n">
        <x:v>0</x:v>
      </x:c>
      <x:c r="N183" t="n">
        <x:v>2</x:v>
      </x:c>
    </x:row>
    <x:row r="184">
      <x:c r="A184" t="str">
        <x:v>a1_new_minus_old</x:v>
      </x:c>
      <x:c r="B184" t="str">
        <x:v>unresolved_pronoun</x:v>
      </x:c>
      <x:c r="C184" t="str">
        <x:f>"qid:6776234528515962047"</x:f>
        <x:v>qid:6776234528515962047</x:v>
      </x:c>
      <x:c r="D184" s="14" t="str">
        <x:v>Who is the most run in cricket history?</x:v>
      </x:c>
      <x:c r="E184" t="str">
        <x:v>old</x:v>
      </x:c>
      <x:c r="F184" t="str">
        <x:v>new</x:v>
      </x:c>
      <x:c r="G184" s="34" t="n">
        <x:v>0.6666666666666666</x:v>
      </x:c>
      <x:c r="H184" s="34" t="n">
        <x:v>0</x:v>
      </x:c>
      <x:c r="I184" s="34" t="n">
        <x:v>-0.6666666666666666</x:v>
      </x:c>
      <x:c r="J184" t="str">
        <x:v>improved</x:v>
      </x:c>
      <x:c r="K184" t="n">
        <x:v>2</x:v>
      </x:c>
      <x:c r="L184" t="n">
        <x:v>3</x:v>
      </x:c>
      <x:c r="M184" t="n">
        <x:v>0</x:v>
      </x:c>
      <x:c r="N184" t="n">
        <x:v>2</x:v>
      </x:c>
    </x:row>
    <x:row r="185">
      <x:c r="A185" t="str">
        <x:v>a1_new_minus_old</x:v>
      </x:c>
      <x:c r="B185" t="str">
        <x:v>unresolved_pronoun</x:v>
      </x:c>
      <x:c r="C185" t="str">
        <x:f>"qid:6962706727076805207"</x:f>
        <x:v>qid:6962706727076805207</x:v>
      </x:c>
      <x:c r="D185" s="14" t="str">
        <x:v>What kind of car in to catch a thief?</x:v>
      </x:c>
      <x:c r="E185" t="str">
        <x:v>old</x:v>
      </x:c>
      <x:c r="F185" t="str">
        <x:v>new</x:v>
      </x:c>
      <x:c r="G185" s="34" t="n">
        <x:v>0.5</x:v>
      </x:c>
      <x:c r="H185" s="34" t="n">
        <x:v>0</x:v>
      </x:c>
      <x:c r="I185" s="34" t="n">
        <x:v>-0.5</x:v>
      </x:c>
      <x:c r="J185" t="str">
        <x:v>improved</x:v>
      </x:c>
      <x:c r="K185" t="n">
        <x:v>2</x:v>
      </x:c>
      <x:c r="L185" t="n">
        <x:v>4</x:v>
      </x:c>
      <x:c r="M185" t="n">
        <x:v>0</x:v>
      </x:c>
      <x:c r="N185" t="n">
        <x:v>1</x:v>
      </x:c>
    </x:row>
    <x:row r="186">
      <x:c r="A186" t="str">
        <x:v>a1_new_minus_old</x:v>
      </x:c>
      <x:c r="B186" t="str">
        <x:v>unresolved_pronoun</x:v>
      </x:c>
      <x:c r="C186" t="str">
        <x:f>"qid:7150599999316106461"</x:f>
        <x:v>qid:7150599999316106461</x:v>
      </x:c>
      <x:c r="D186" s="14" t="str">
        <x:v>Who was the first singing brothers in the hall of fame?</x:v>
      </x:c>
      <x:c r="E186" t="str">
        <x:v>old</x:v>
      </x:c>
      <x:c r="F186" t="str">
        <x:v>new</x:v>
      </x:c>
      <x:c r="G186" s="34" t="n">
        <x:v>0.3333333333333333</x:v>
      </x:c>
      <x:c r="H186" s="34" t="n">
        <x:v>0</x:v>
      </x:c>
      <x:c r="I186" s="34" t="n">
        <x:v>-0.3333333333333333</x:v>
      </x:c>
      <x:c r="J186" t="str">
        <x:v>improved</x:v>
      </x:c>
      <x:c r="K186" t="n">
        <x:v>1</x:v>
      </x:c>
      <x:c r="L186" t="n">
        <x:v>3</x:v>
      </x:c>
      <x:c r="M186" t="n">
        <x:v>0</x:v>
      </x:c>
      <x:c r="N186" t="n">
        <x:v>1</x:v>
      </x:c>
    </x:row>
    <x:row r="187">
      <x:c r="A187" t="str">
        <x:v>a1_new_minus_old</x:v>
      </x:c>
      <x:c r="B187" t="str">
        <x:v>unresolved_pronoun</x:v>
      </x:c>
      <x:c r="C187" t="str">
        <x:f>"qid:732619765350082410"</x:f>
        <x:v>qid:732619765350082410</x:v>
      </x:c>
      <x:c r="D187" s="14" t="str">
        <x:v>When did toronto host the mlb all-star game?</x:v>
      </x:c>
      <x:c r="E187" t="str">
        <x:v>old</x:v>
      </x:c>
      <x:c r="F187" t="str">
        <x:v>new</x:v>
      </x:c>
      <x:c r="G187" s="34" t="n">
        <x:v>0</x:v>
      </x:c>
      <x:c r="H187" s="34" t="n">
        <x:v>0</x:v>
      </x:c>
      <x:c r="I187" s="34" t="n">
        <x:v>0</x:v>
      </x:c>
      <x:c r="J187" t="str">
        <x:v>unchanged</x:v>
      </x:c>
      <x:c r="K187" t="n">
        <x:v>0</x:v>
      </x:c>
      <x:c r="L187" t="n">
        <x:v>2</x:v>
      </x:c>
      <x:c r="M187" t="n">
        <x:v>0</x:v>
      </x:c>
      <x:c r="N187" t="n">
        <x:v>1</x:v>
      </x:c>
    </x:row>
    <x:row r="188">
      <x:c r="A188" t="str">
        <x:v>a1_new_minus_old</x:v>
      </x:c>
      <x:c r="B188" t="str">
        <x:v>unresolved_pronoun</x:v>
      </x:c>
      <x:c r="C188" t="str">
        <x:f>"qid:743600309736467122"</x:f>
        <x:v>qid:743600309736467122</x:v>
      </x:c>
      <x:c r="D188" s="14" t="str">
        <x:v>When was on the revolutions of the heavenly spheres published?</x:v>
      </x:c>
      <x:c r="E188" t="str">
        <x:v>old</x:v>
      </x:c>
      <x:c r="F188" t="str">
        <x:v>new</x:v>
      </x:c>
      <x:c r="G188" s="34" t="n">
        <x:v>0</x:v>
      </x:c>
      <x:c r="H188" s="34" t="n">
        <x:v>0</x:v>
      </x:c>
      <x:c r="I188" s="34" t="n">
        <x:v>0</x:v>
      </x:c>
      <x:c r="J188" t="str">
        <x:v>unchanged</x:v>
      </x:c>
      <x:c r="K188" t="n">
        <x:v>0</x:v>
      </x:c>
      <x:c r="L188" t="n">
        <x:v>1</x:v>
      </x:c>
      <x:c r="M188" t="n">
        <x:v>0</x:v>
      </x:c>
      <x:c r="N188" t="n">
        <x:v>1</x:v>
      </x:c>
    </x:row>
    <x:row r="189">
      <x:c r="A189" t="str">
        <x:v>a1_new_minus_old</x:v>
      </x:c>
      <x:c r="B189" t="str">
        <x:v>unresolved_pronoun</x:v>
      </x:c>
      <x:c r="C189" t="str">
        <x:f>"qid:7494804303418493420"</x:f>
        <x:v>qid:7494804303418493420</x:v>
      </x:c>
      <x:c r="D189" s="14" t="str">
        <x:v>Movie with the song sunshine on my shoulders?</x:v>
      </x:c>
      <x:c r="E189" t="str">
        <x:v>old</x:v>
      </x:c>
      <x:c r="F189" t="str">
        <x:v>new</x:v>
      </x:c>
      <x:c r="G189" s="34" t="n">
        <x:v>0</x:v>
      </x:c>
      <x:c r="H189" s="34" t="n">
        <x:v>0</x:v>
      </x:c>
      <x:c r="I189" s="34" t="n">
        <x:v>0</x:v>
      </x:c>
      <x:c r="J189" t="str">
        <x:v>unchanged</x:v>
      </x:c>
      <x:c r="K189" t="n">
        <x:v>0</x:v>
      </x:c>
      <x:c r="L189" t="n">
        <x:v>2</x:v>
      </x:c>
      <x:c r="M189" t="n">
        <x:v>0</x:v>
      </x:c>
      <x:c r="N189" t="n">
        <x:v>1</x:v>
      </x:c>
    </x:row>
    <x:row r="190">
      <x:c r="A190" t="str">
        <x:v>a1_new_minus_old</x:v>
      </x:c>
      <x:c r="B190" t="str">
        <x:v>unresolved_pronoun</x:v>
      </x:c>
      <x:c r="C190" t="str">
        <x:f>"qid:7797208395147217894"</x:f>
        <x:v>qid:7797208395147217894</x:v>
      </x:c>
      <x:c r="D190" s="14" t="str">
        <x:v>When did west germany win the world cup?</x:v>
      </x:c>
      <x:c r="E190" t="str">
        <x:v>old</x:v>
      </x:c>
      <x:c r="F190" t="str">
        <x:v>new</x:v>
      </x:c>
      <x:c r="G190" s="34" t="n">
        <x:v>0</x:v>
      </x:c>
      <x:c r="H190" s="34" t="n">
        <x:v>0</x:v>
      </x:c>
      <x:c r="I190" s="34" t="n">
        <x:v>0</x:v>
      </x:c>
      <x:c r="J190" t="str">
        <x:v>unchanged</x:v>
      </x:c>
      <x:c r="K190" t="n">
        <x:v>0</x:v>
      </x:c>
      <x:c r="L190" t="n">
        <x:v>3</x:v>
      </x:c>
      <x:c r="M190" t="n">
        <x:v>0</x:v>
      </x:c>
      <x:c r="N190" t="n">
        <x:v>2</x:v>
      </x:c>
    </x:row>
    <x:row r="191">
      <x:c r="A191" t="str">
        <x:v>a1_new_minus_old</x:v>
      </x:c>
      <x:c r="B191" t="str">
        <x:v>unresolved_pronoun</x:v>
      </x:c>
      <x:c r="C191" t="str">
        <x:f>"qid:8433533625736230886"</x:f>
        <x:v>qid:8433533625736230886</x:v>
      </x:c>
      <x:c r="D191" s="14" t="str">
        <x:v>Who has won the most trophies man utd or liverpool?</x:v>
      </x:c>
      <x:c r="E191" t="str">
        <x:v>old</x:v>
      </x:c>
      <x:c r="F191" t="str">
        <x:v>new</x:v>
      </x:c>
      <x:c r="G191" s="34" t="n">
        <x:v>0</x:v>
      </x:c>
      <x:c r="H191" s="34" t="n">
        <x:v>0</x:v>
      </x:c>
      <x:c r="I191" s="34" t="n">
        <x:v>0</x:v>
      </x:c>
      <x:c r="J191" t="str">
        <x:v>unchanged</x:v>
      </x:c>
      <x:c r="K191" t="n">
        <x:v>0</x:v>
      </x:c>
      <x:c r="L191" t="n">
        <x:v>1</x:v>
      </x:c>
      <x:c r="M191" t="n">
        <x:v>0</x:v>
      </x:c>
      <x:c r="N191" t="n">
        <x:v>1</x:v>
      </x:c>
    </x:row>
    <x:row r="192">
      <x:c r="A192" t="str">
        <x:v>a1_new_minus_old</x:v>
      </x:c>
      <x:c r="B192" t="str">
        <x:v>unresolved_pronoun</x:v>
      </x:c>
      <x:c r="C192" t="str">
        <x:f>"qid:8686216144939155905"</x:f>
        <x:v>qid:8686216144939155905</x:v>
      </x:c>
      <x:c r="D192" s="14" t="str">
        <x:v>What is the name of the time zone for london?</x:v>
      </x:c>
      <x:c r="E192" t="str">
        <x:v>old</x:v>
      </x:c>
      <x:c r="F192" t="str">
        <x:v>new</x:v>
      </x:c>
      <x:c r="G192" s="34" t="n">
        <x:v>0</x:v>
      </x:c>
      <x:c r="H192" s="34" t="n">
        <x:v>0</x:v>
      </x:c>
      <x:c r="I192" s="34" t="n">
        <x:v>0</x:v>
      </x:c>
      <x:c r="J192" t="str">
        <x:v>unchanged</x:v>
      </x:c>
      <x:c r="K192" t="n">
        <x:v>0</x:v>
      </x:c>
      <x:c r="L192" t="n">
        <x:v>1</x:v>
      </x:c>
      <x:c r="M192" t="n">
        <x:v>0</x:v>
      </x:c>
      <x:c r="N192" t="n">
        <x:v>1</x:v>
      </x:c>
    </x:row>
    <x:row r="193">
      <x:c r="A193" t="str">
        <x:v>a1_new_minus_old</x:v>
      </x:c>
      <x:c r="B193" t="str">
        <x:v>unresolved_pronoun</x:v>
      </x:c>
      <x:c r="C193" t="str">
        <x:f>"qid:87005427005915954"</x:f>
        <x:v>qid:87005427005915954</x:v>
      </x:c>
      <x:c r="D193" s="14" t="str">
        <x:v>When was the last time galway won the hurling all ireland?</x:v>
      </x:c>
      <x:c r="E193" t="str">
        <x:v>old</x:v>
      </x:c>
      <x:c r="F193" t="str">
        <x:v>new</x:v>
      </x:c>
      <x:c r="G193" s="34" t="n">
        <x:v>0</x:v>
      </x:c>
      <x:c r="H193" s="34" t="n">
        <x:v>0</x:v>
      </x:c>
      <x:c r="I193" s="34" t="n">
        <x:v>0</x:v>
      </x:c>
      <x:c r="J193" t="str">
        <x:v>unchanged</x:v>
      </x:c>
      <x:c r="K193" t="n">
        <x:v>0</x:v>
      </x:c>
      <x:c r="L193" t="n">
        <x:v>1</x:v>
      </x:c>
      <x:c r="M193" t="n">
        <x:v>0</x:v>
      </x:c>
      <x:c r="N193" t="n">
        <x:v>1</x:v>
      </x:c>
    </x:row>
    <x:row r="194">
      <x:c r="A194" t="str">
        <x:v>a2_new_minus_old_on_old_a1</x:v>
      </x:c>
      <x:c r="B194" t="str">
        <x:v>atomic</x:v>
      </x:c>
      <x:c r="C194" t="str">
        <x:f>"qid:-1062522255440685408"</x:f>
        <x:v>qid:-1062522255440685408</x:v>
      </x:c>
      <x:c r="D194" s="14" t="str">
        <x:v>When did the first generation kindle fire come out?</x:v>
      </x:c>
      <x:c r="E194" t="str">
        <x:v>old_old</x:v>
      </x:c>
      <x:c r="F194" t="str">
        <x:v>old_new</x:v>
      </x:c>
      <x:c r="G194" s="34" t="n">
        <x:v>1</x:v>
      </x:c>
      <x:c r="H194" s="34" t="n">
        <x:v>1</x:v>
      </x:c>
      <x:c r="I194" s="34" t="n">
        <x:v>0</x:v>
      </x:c>
      <x:c r="J194" t="str">
        <x:v>unchanged</x:v>
      </x:c>
      <x:c r="K194" t="n">
        <x:v>1</x:v>
      </x:c>
      <x:c r="L194" t="n">
        <x:v>1</x:v>
      </x:c>
      <x:c r="M194" t="n">
        <x:v>1</x:v>
      </x:c>
      <x:c r="N194" t="n">
        <x:v>1</x:v>
      </x:c>
    </x:row>
    <x:row r="195">
      <x:c r="A195" t="str">
        <x:v>a2_new_minus_old_on_old_a1</x:v>
      </x:c>
      <x:c r="B195" t="str">
        <x:v>atomic</x:v>
      </x:c>
      <x:c r="C195" t="str">
        <x:f>"qid:-2585133819352441604"</x:f>
        <x:v>qid:-2585133819352441604</x:v>
      </x:c>
      <x:c r="D195" s="14" t="str">
        <x:v>Name of first episode of this is us?</x:v>
      </x:c>
      <x:c r="E195" t="str">
        <x:v>old_old</x:v>
      </x:c>
      <x:c r="F195" t="str">
        <x:v>old_new</x:v>
      </x:c>
      <x:c r="G195" s="34" t="n">
        <x:v>1</x:v>
      </x:c>
      <x:c r="H195" s="34" t="n">
        <x:v>1</x:v>
      </x:c>
      <x:c r="I195" s="34" t="n">
        <x:v>0</x:v>
      </x:c>
      <x:c r="J195" t="str">
        <x:v>unchanged</x:v>
      </x:c>
      <x:c r="K195" t="n">
        <x:v>1</x:v>
      </x:c>
      <x:c r="L195" t="n">
        <x:v>1</x:v>
      </x:c>
      <x:c r="M195" t="n">
        <x:v>1</x:v>
      </x:c>
      <x:c r="N195" t="n">
        <x:v>1</x:v>
      </x:c>
    </x:row>
    <x:row r="196">
      <x:c r="A196" t="str">
        <x:v>a2_new_minus_old_on_old_a1</x:v>
      </x:c>
      <x:c r="B196" t="str">
        <x:v>atomic</x:v>
      </x:c>
      <x:c r="C196" t="str">
        <x:f>"qid:-3228483207040151533"</x:f>
        <x:v>qid:-3228483207040151533</x:v>
      </x:c>
      <x:c r="D196" s="14" t="str">
        <x:v>What bodies of water surround cabo san lucas?</x:v>
      </x:c>
      <x:c r="E196" t="str">
        <x:v>old_old</x:v>
      </x:c>
      <x:c r="F196" t="str">
        <x:v>old_new</x:v>
      </x:c>
      <x:c r="G196" s="34" t="n">
        <x:v>1</x:v>
      </x:c>
      <x:c r="H196" s="34" t="n">
        <x:v>1</x:v>
      </x:c>
      <x:c r="I196" s="34" t="n">
        <x:v>0</x:v>
      </x:c>
      <x:c r="J196" t="str">
        <x:v>unchanged</x:v>
      </x:c>
      <x:c r="K196" t="n">
        <x:v>1</x:v>
      </x:c>
      <x:c r="L196" t="n">
        <x:v>1</x:v>
      </x:c>
      <x:c r="M196" t="n">
        <x:v>1</x:v>
      </x:c>
      <x:c r="N196" t="n">
        <x:v>1</x:v>
      </x:c>
    </x:row>
    <x:row r="197">
      <x:c r="A197" t="str">
        <x:v>a2_new_minus_old_on_old_a1</x:v>
      </x:c>
      <x:c r="B197" t="str">
        <x:v>atomic</x:v>
      </x:c>
      <x:c r="C197" t="str">
        <x:f>"qid:-3279585462082900736"</x:f>
        <x:v>qid:-3279585462082900736</x:v>
      </x:c>
      <x:c r="D197" s="14" t="str">
        <x:v>Who gets fired on grey's anatomy season 6?</x:v>
      </x:c>
      <x:c r="E197" t="str">
        <x:v>old_old</x:v>
      </x:c>
      <x:c r="F197" t="str">
        <x:v>old_new</x:v>
      </x:c>
      <x:c r="G197" s="34" t="n">
        <x:v>1</x:v>
      </x:c>
      <x:c r="H197" s="34" t="n">
        <x:v>1</x:v>
      </x:c>
      <x:c r="I197" s="34" t="n">
        <x:v>0</x:v>
      </x:c>
      <x:c r="J197" t="str">
        <x:v>unchanged</x:v>
      </x:c>
      <x:c r="K197" t="n">
        <x:v>1</x:v>
      </x:c>
      <x:c r="L197" t="n">
        <x:v>1</x:v>
      </x:c>
      <x:c r="M197" t="n">
        <x:v>1</x:v>
      </x:c>
      <x:c r="N197" t="n">
        <x:v>1</x:v>
      </x:c>
    </x:row>
    <x:row r="198">
      <x:c r="A198" t="str">
        <x:v>a2_new_minus_old_on_old_a1</x:v>
      </x:c>
      <x:c r="B198" t="str">
        <x:v>atomic</x:v>
      </x:c>
      <x:c r="C198" t="str">
        <x:f>"qid:-3344541168958463110"</x:f>
        <x:v>qid:-3344541168958463110</x:v>
      </x:c>
      <x:c r="D198" s="14" t="str">
        <x:v>Who fought with an angel in the bible?</x:v>
      </x:c>
      <x:c r="E198" t="str">
        <x:v>old_old</x:v>
      </x:c>
      <x:c r="F198" t="str">
        <x:v>old_new</x:v>
      </x:c>
      <x:c r="G198" s="34" t="n">
        <x:v>1</x:v>
      </x:c>
      <x:c r="H198" s="34" t="n">
        <x:v>1</x:v>
      </x:c>
      <x:c r="I198" s="34" t="n">
        <x:v>0</x:v>
      </x:c>
      <x:c r="J198" t="str">
        <x:v>unchanged</x:v>
      </x:c>
      <x:c r="K198" t="n">
        <x:v>2</x:v>
      </x:c>
      <x:c r="L198" t="n">
        <x:v>2</x:v>
      </x:c>
      <x:c r="M198" t="n">
        <x:v>2</x:v>
      </x:c>
      <x:c r="N198" t="n">
        <x:v>2</x:v>
      </x:c>
    </x:row>
    <x:row r="199">
      <x:c r="A199" t="str">
        <x:v>a2_new_minus_old_on_old_a1</x:v>
      </x:c>
      <x:c r="B199" t="str">
        <x:v>atomic</x:v>
      </x:c>
      <x:c r="C199" t="str">
        <x:f>"qid:-4286108617234818000"</x:f>
        <x:v>qid:-4286108617234818000</x:v>
      </x:c>
      <x:c r="D199" s="14" t="str">
        <x:v>When does the new super troopers movie come out?</x:v>
      </x:c>
      <x:c r="E199" t="str">
        <x:v>old_old</x:v>
      </x:c>
      <x:c r="F199" t="str">
        <x:v>old_new</x:v>
      </x:c>
      <x:c r="G199" s="34" t="n">
        <x:v>1</x:v>
      </x:c>
      <x:c r="H199" s="34" t="n">
        <x:v>1</x:v>
      </x:c>
      <x:c r="I199" s="34" t="n">
        <x:v>0</x:v>
      </x:c>
      <x:c r="J199" t="str">
        <x:v>unchanged</x:v>
      </x:c>
      <x:c r="K199" t="n">
        <x:v>1</x:v>
      </x:c>
      <x:c r="L199" t="n">
        <x:v>1</x:v>
      </x:c>
      <x:c r="M199" t="n">
        <x:v>1</x:v>
      </x:c>
      <x:c r="N199" t="n">
        <x:v>1</x:v>
      </x:c>
    </x:row>
    <x:row r="200">
      <x:c r="A200" t="str">
        <x:v>a2_new_minus_old_on_old_a1</x:v>
      </x:c>
      <x:c r="B200" t="str">
        <x:v>atomic</x:v>
      </x:c>
      <x:c r="C200" t="str">
        <x:f>"qid:-4456614433280196572"</x:f>
        <x:v>qid:-4456614433280196572</x:v>
      </x:c>
      <x:c r="D200" s="14" t="str">
        <x:v>What season does meredith and derek get married in grey's anatomy?</x:v>
      </x:c>
      <x:c r="E200" t="str">
        <x:v>old_old</x:v>
      </x:c>
      <x:c r="F200" t="str">
        <x:v>old_new</x:v>
      </x:c>
      <x:c r="G200" s="34" t="n">
        <x:v>1</x:v>
      </x:c>
      <x:c r="H200" s="34" t="n">
        <x:v>1</x:v>
      </x:c>
      <x:c r="I200" s="34" t="n">
        <x:v>0</x:v>
      </x:c>
      <x:c r="J200" t="str">
        <x:v>unchanged</x:v>
      </x:c>
      <x:c r="K200" t="n">
        <x:v>1</x:v>
      </x:c>
      <x:c r="L200" t="n">
        <x:v>1</x:v>
      </x:c>
      <x:c r="M200" t="n">
        <x:v>1</x:v>
      </x:c>
      <x:c r="N200" t="n">
        <x:v>1</x:v>
      </x:c>
    </x:row>
    <x:row r="201">
      <x:c r="A201" t="str">
        <x:v>a2_new_minus_old_on_old_a1</x:v>
      </x:c>
      <x:c r="B201" t="str">
        <x:v>atomic</x:v>
      </x:c>
      <x:c r="C201" t="str">
        <x:f>"qid:-447198893588059167"</x:f>
        <x:v>qid:-447198893588059167</x:v>
      </x:c>
      <x:c r="D201" s="14" t="str">
        <x:v>Who played the father in leave it to beaver?</x:v>
      </x:c>
      <x:c r="E201" t="str">
        <x:v>old_old</x:v>
      </x:c>
      <x:c r="F201" t="str">
        <x:v>old_new</x:v>
      </x:c>
      <x:c r="G201" s="34" t="n">
        <x:v>1</x:v>
      </x:c>
      <x:c r="H201" s="34" t="n">
        <x:v>1</x:v>
      </x:c>
      <x:c r="I201" s="34" t="n">
        <x:v>0</x:v>
      </x:c>
      <x:c r="J201" t="str">
        <x:v>unchanged</x:v>
      </x:c>
      <x:c r="K201" t="n">
        <x:v>1</x:v>
      </x:c>
      <x:c r="L201" t="n">
        <x:v>1</x:v>
      </x:c>
      <x:c r="M201" t="n">
        <x:v>1</x:v>
      </x:c>
      <x:c r="N201" t="n">
        <x:v>1</x:v>
      </x:c>
    </x:row>
    <x:row r="202">
      <x:c r="A202" t="str">
        <x:v>a2_new_minus_old_on_old_a1</x:v>
      </x:c>
      <x:c r="B202" t="str">
        <x:v>atomic</x:v>
      </x:c>
      <x:c r="C202" t="str">
        <x:f>"qid:-4649654703638364295"</x:f>
        <x:v>qid:-4649654703638364295</x:v>
      </x:c>
      <x:c r="D202" s="14" t="str">
        <x:v>Who made it through the divisional finals world of dance?</x:v>
      </x:c>
      <x:c r="E202" t="str">
        <x:v>old_old</x:v>
      </x:c>
      <x:c r="F202" t="str">
        <x:v>old_new</x:v>
      </x:c>
      <x:c r="G202" s="34" t="n">
        <x:v>1</x:v>
      </x:c>
      <x:c r="H202" s="34" t="n">
        <x:v>1</x:v>
      </x:c>
      <x:c r="I202" s="34" t="n">
        <x:v>0</x:v>
      </x:c>
      <x:c r="J202" t="str">
        <x:v>unchanged</x:v>
      </x:c>
      <x:c r="K202" t="n">
        <x:v>1</x:v>
      </x:c>
      <x:c r="L202" t="n">
        <x:v>1</x:v>
      </x:c>
      <x:c r="M202" t="n">
        <x:v>1</x:v>
      </x:c>
      <x:c r="N202" t="n">
        <x:v>1</x:v>
      </x:c>
    </x:row>
    <x:row r="203">
      <x:c r="A203" t="str">
        <x:v>a2_new_minus_old_on_old_a1</x:v>
      </x:c>
      <x:c r="B203" t="str">
        <x:v>atomic</x:v>
      </x:c>
      <x:c r="C203" t="str">
        <x:f>"qid:-4873786835306543030"</x:f>
        <x:v>qid:-4873786835306543030</x:v>
      </x:c>
      <x:c r="D203" s="14" t="str">
        <x:v>Who is the chief minister of m. p?</x:v>
      </x:c>
      <x:c r="E203" t="str">
        <x:v>old_old</x:v>
      </x:c>
      <x:c r="F203" t="str">
        <x:v>old_new</x:v>
      </x:c>
      <x:c r="G203" s="34" t="n">
        <x:v>1</x:v>
      </x:c>
      <x:c r="H203" s="34" t="n">
        <x:v>1</x:v>
      </x:c>
      <x:c r="I203" s="34" t="n">
        <x:v>0</x:v>
      </x:c>
      <x:c r="J203" t="str">
        <x:v>unchanged</x:v>
      </x:c>
      <x:c r="K203" t="n">
        <x:v>1</x:v>
      </x:c>
      <x:c r="L203" t="n">
        <x:v>1</x:v>
      </x:c>
      <x:c r="M203" t="n">
        <x:v>1</x:v>
      </x:c>
      <x:c r="N203" t="n">
        <x:v>1</x:v>
      </x:c>
    </x:row>
    <x:row r="204">
      <x:c r="A204" t="str">
        <x:v>a2_new_minus_old_on_old_a1</x:v>
      </x:c>
      <x:c r="B204" t="str">
        <x:v>atomic</x:v>
      </x:c>
      <x:c r="C204" t="str">
        <x:f>"qid:-4995398567532229571"</x:f>
        <x:v>qid:-4995398567532229571</x:v>
      </x:c>
      <x:c r="D204" s="14" t="str">
        <x:v>When did ragtime flourished in the united states?</x:v>
      </x:c>
      <x:c r="E204" t="str">
        <x:v>old_old</x:v>
      </x:c>
      <x:c r="F204" t="str">
        <x:v>old_new</x:v>
      </x:c>
      <x:c r="G204" s="34" t="n">
        <x:v>1</x:v>
      </x:c>
      <x:c r="H204" s="34" t="n">
        <x:v>1</x:v>
      </x:c>
      <x:c r="I204" s="34" t="n">
        <x:v>0</x:v>
      </x:c>
      <x:c r="J204" t="str">
        <x:v>unchanged</x:v>
      </x:c>
      <x:c r="K204" t="n">
        <x:v>2</x:v>
      </x:c>
      <x:c r="L204" t="n">
        <x:v>2</x:v>
      </x:c>
      <x:c r="M204" t="n">
        <x:v>2</x:v>
      </x:c>
      <x:c r="N204" t="n">
        <x:v>2</x:v>
      </x:c>
    </x:row>
    <x:row r="205">
      <x:c r="A205" t="str">
        <x:v>a2_new_minus_old_on_old_a1</x:v>
      </x:c>
      <x:c r="B205" t="str">
        <x:v>atomic</x:v>
      </x:c>
      <x:c r="C205" t="str">
        <x:f>"qid:-5036947181661390825"</x:f>
        <x:v>qid:-5036947181661390825</x:v>
      </x:c>
      <x:c r="D205" s="14" t="str">
        <x:v>When was the vietnam veterans war memorial built?</x:v>
      </x:c>
      <x:c r="E205" t="str">
        <x:v>old_old</x:v>
      </x:c>
      <x:c r="F205" t="str">
        <x:v>old_new</x:v>
      </x:c>
      <x:c r="G205" s="34" t="n">
        <x:v>1</x:v>
      </x:c>
      <x:c r="H205" s="34" t="n">
        <x:v>1</x:v>
      </x:c>
      <x:c r="I205" s="34" t="n">
        <x:v>0</x:v>
      </x:c>
      <x:c r="J205" t="str">
        <x:v>unchanged</x:v>
      </x:c>
      <x:c r="K205" t="n">
        <x:v>1</x:v>
      </x:c>
      <x:c r="L205" t="n">
        <x:v>1</x:v>
      </x:c>
      <x:c r="M205" t="n">
        <x:v>1</x:v>
      </x:c>
      <x:c r="N205" t="n">
        <x:v>1</x:v>
      </x:c>
    </x:row>
    <x:row r="206">
      <x:c r="A206" t="str">
        <x:v>a2_new_minus_old_on_old_a1</x:v>
      </x:c>
      <x:c r="B206" t="str">
        <x:v>atomic</x:v>
      </x:c>
      <x:c r="C206" t="str">
        <x:f>"qid:-5116644172939113883"</x:f>
        <x:v>qid:-5116644172939113883</x:v>
      </x:c>
      <x:c r="D206" s="14" t="str">
        <x:v>Who raps in the gorillaz song clint eastwood?</x:v>
      </x:c>
      <x:c r="E206" t="str">
        <x:v>old_old</x:v>
      </x:c>
      <x:c r="F206" t="str">
        <x:v>old_new</x:v>
      </x:c>
      <x:c r="G206" s="34" t="n">
        <x:v>1</x:v>
      </x:c>
      <x:c r="H206" s="34" t="n">
        <x:v>1</x:v>
      </x:c>
      <x:c r="I206" s="34" t="n">
        <x:v>0</x:v>
      </x:c>
      <x:c r="J206" t="str">
        <x:v>unchanged</x:v>
      </x:c>
      <x:c r="K206" t="n">
        <x:v>1</x:v>
      </x:c>
      <x:c r="L206" t="n">
        <x:v>1</x:v>
      </x:c>
      <x:c r="M206" t="n">
        <x:v>1</x:v>
      </x:c>
      <x:c r="N206" t="n">
        <x:v>1</x:v>
      </x:c>
    </x:row>
    <x:row r="207">
      <x:c r="A207" t="str">
        <x:v>a2_new_minus_old_on_old_a1</x:v>
      </x:c>
      <x:c r="B207" t="str">
        <x:v>atomic</x:v>
      </x:c>
      <x:c r="C207" t="str">
        <x:f>"qid:-5333049627570569397"</x:f>
        <x:v>qid:-5333049627570569397</x:v>
      </x:c>
      <x:c r="D207" s="14" t="str">
        <x:v>When did the song can't touch this come out?</x:v>
      </x:c>
      <x:c r="E207" t="str">
        <x:v>old_old</x:v>
      </x:c>
      <x:c r="F207" t="str">
        <x:v>old_new</x:v>
      </x:c>
      <x:c r="G207" s="34" t="n">
        <x:v>1</x:v>
      </x:c>
      <x:c r="H207" s="34" t="n">
        <x:v>1</x:v>
      </x:c>
      <x:c r="I207" s="34" t="n">
        <x:v>0</x:v>
      </x:c>
      <x:c r="J207" t="str">
        <x:v>unchanged</x:v>
      </x:c>
      <x:c r="K207" t="n">
        <x:v>1</x:v>
      </x:c>
      <x:c r="L207" t="n">
        <x:v>1</x:v>
      </x:c>
      <x:c r="M207" t="n">
        <x:v>1</x:v>
      </x:c>
      <x:c r="N207" t="n">
        <x:v>1</x:v>
      </x:c>
    </x:row>
    <x:row r="208">
      <x:c r="A208" t="str">
        <x:v>a2_new_minus_old_on_old_a1</x:v>
      </x:c>
      <x:c r="B208" t="str">
        <x:v>atomic</x:v>
      </x:c>
      <x:c r="C208" t="str">
        <x:f>"qid:-5564120845047915486"</x:f>
        <x:v>qid:-5564120845047915486</x:v>
      </x:c>
      <x:c r="D208" s="14" t="str">
        <x:v>Where do you find a simple gear train?</x:v>
      </x:c>
      <x:c r="E208" t="str">
        <x:v>old_old</x:v>
      </x:c>
      <x:c r="F208" t="str">
        <x:v>old_new</x:v>
      </x:c>
      <x:c r="G208" s="34" t="n">
        <x:v>1</x:v>
      </x:c>
      <x:c r="H208" s="34" t="n">
        <x:v>1</x:v>
      </x:c>
      <x:c r="I208" s="34" t="n">
        <x:v>0</x:v>
      </x:c>
      <x:c r="J208" t="str">
        <x:v>unchanged</x:v>
      </x:c>
      <x:c r="K208" t="n">
        <x:v>4</x:v>
      </x:c>
      <x:c r="L208" t="n">
        <x:v>4</x:v>
      </x:c>
      <x:c r="M208" t="n">
        <x:v>4</x:v>
      </x:c>
      <x:c r="N208" t="n">
        <x:v>4</x:v>
      </x:c>
    </x:row>
    <x:row r="209">
      <x:c r="A209" t="str">
        <x:v>a2_new_minus_old_on_old_a1</x:v>
      </x:c>
      <x:c r="B209" t="str">
        <x:v>atomic</x:v>
      </x:c>
      <x:c r="C209" t="str">
        <x:f>"qid:-62521546794442829"</x:f>
        <x:v>qid:-62521546794442829</x:v>
      </x:c>
      <x:c r="D209" s="14" t="str">
        <x:v>For whom was the battle of king's mountain a victory?</x:v>
      </x:c>
      <x:c r="E209" t="str">
        <x:v>old_old</x:v>
      </x:c>
      <x:c r="F209" t="str">
        <x:v>old_new</x:v>
      </x:c>
      <x:c r="G209" s="34" t="n">
        <x:v>1</x:v>
      </x:c>
      <x:c r="H209" s="34" t="n">
        <x:v>1</x:v>
      </x:c>
      <x:c r="I209" s="34" t="n">
        <x:v>0</x:v>
      </x:c>
      <x:c r="J209" t="str">
        <x:v>unchanged</x:v>
      </x:c>
      <x:c r="K209" t="n">
        <x:v>1</x:v>
      </x:c>
      <x:c r="L209" t="n">
        <x:v>1</x:v>
      </x:c>
      <x:c r="M209" t="n">
        <x:v>1</x:v>
      </x:c>
      <x:c r="N209" t="n">
        <x:v>1</x:v>
      </x:c>
    </x:row>
    <x:row r="210">
      <x:c r="A210" t="str">
        <x:v>a2_new_minus_old_on_old_a1</x:v>
      </x:c>
      <x:c r="B210" t="str">
        <x:v>atomic</x:v>
      </x:c>
      <x:c r="C210" t="str">
        <x:f>"qid:-6702031255040326279"</x:f>
        <x:v>qid:-6702031255040326279</x:v>
      </x:c>
      <x:c r="D210" s="14" t="str">
        <x:v>Which of the animal is a carrier of h1n1?</x:v>
      </x:c>
      <x:c r="E210" t="str">
        <x:v>old_old</x:v>
      </x:c>
      <x:c r="F210" t="str">
        <x:v>old_new</x:v>
      </x:c>
      <x:c r="G210" s="34" t="n">
        <x:v>1</x:v>
      </x:c>
      <x:c r="H210" s="34" t="n">
        <x:v>1</x:v>
      </x:c>
      <x:c r="I210" s="34" t="n">
        <x:v>0</x:v>
      </x:c>
      <x:c r="J210" t="str">
        <x:v>unchanged</x:v>
      </x:c>
      <x:c r="K210" t="n">
        <x:v>2</x:v>
      </x:c>
      <x:c r="L210" t="n">
        <x:v>2</x:v>
      </x:c>
      <x:c r="M210" t="n">
        <x:v>2</x:v>
      </x:c>
      <x:c r="N210" t="n">
        <x:v>2</x:v>
      </x:c>
    </x:row>
    <x:row r="211">
      <x:c r="A211" t="str">
        <x:v>a2_new_minus_old_on_old_a1</x:v>
      </x:c>
      <x:c r="B211" t="str">
        <x:v>atomic</x:v>
      </x:c>
      <x:c r="C211" t="str">
        <x:f>"qid:-728189424752983312"</x:f>
        <x:v>qid:-728189424752983312</x:v>
      </x:c>
      <x:c r="D211" s="14" t="str">
        <x:v>Where did the term bye felicia come from?</x:v>
      </x:c>
      <x:c r="E211" t="str">
        <x:v>old_old</x:v>
      </x:c>
      <x:c r="F211" t="str">
        <x:v>old_new</x:v>
      </x:c>
      <x:c r="G211" s="34" t="n">
        <x:v>1</x:v>
      </x:c>
      <x:c r="H211" s="34" t="n">
        <x:v>1</x:v>
      </x:c>
      <x:c r="I211" s="34" t="n">
        <x:v>0</x:v>
      </x:c>
      <x:c r="J211" t="str">
        <x:v>unchanged</x:v>
      </x:c>
      <x:c r="K211" t="n">
        <x:v>2</x:v>
      </x:c>
      <x:c r="L211" t="n">
        <x:v>2</x:v>
      </x:c>
      <x:c r="M211" t="n">
        <x:v>2</x:v>
      </x:c>
      <x:c r="N211" t="n">
        <x:v>2</x:v>
      </x:c>
    </x:row>
    <x:row r="212">
      <x:c r="A212" t="str">
        <x:v>a2_new_minus_old_on_old_a1</x:v>
      </x:c>
      <x:c r="B212" t="str">
        <x:v>atomic</x:v>
      </x:c>
      <x:c r="C212" t="str">
        <x:f>"qid:-7824075627194227170"</x:f>
        <x:v>qid:-7824075627194227170</x:v>
      </x:c>
      <x:c r="D212" s="14" t="str">
        <x:v>When was the commission fir sc/st established?</x:v>
      </x:c>
      <x:c r="E212" t="str">
        <x:v>old_old</x:v>
      </x:c>
      <x:c r="F212" t="str">
        <x:v>old_new</x:v>
      </x:c>
      <x:c r="G212" s="34" t="n">
        <x:v>1</x:v>
      </x:c>
      <x:c r="H212" s="34" t="n">
        <x:v>1</x:v>
      </x:c>
      <x:c r="I212" s="34" t="n">
        <x:v>0</x:v>
      </x:c>
      <x:c r="J212" t="str">
        <x:v>unchanged</x:v>
      </x:c>
      <x:c r="K212" t="n">
        <x:v>3</x:v>
      </x:c>
      <x:c r="L212" t="n">
        <x:v>3</x:v>
      </x:c>
      <x:c r="M212" t="n">
        <x:v>3</x:v>
      </x:c>
      <x:c r="N212" t="n">
        <x:v>3</x:v>
      </x:c>
    </x:row>
    <x:row r="213">
      <x:c r="A213" t="str">
        <x:v>a2_new_minus_old_on_old_a1</x:v>
      </x:c>
      <x:c r="B213" t="str">
        <x:v>atomic</x:v>
      </x:c>
      <x:c r="C213" t="str">
        <x:f>"qid:-8286966211355378010"</x:f>
        <x:v>qid:-8286966211355378010</x:v>
      </x:c>
      <x:c r="D213" s="14" t="str">
        <x:v>What is the objective of tour de france?</x:v>
      </x:c>
      <x:c r="E213" t="str">
        <x:v>old_old</x:v>
      </x:c>
      <x:c r="F213" t="str">
        <x:v>old_new</x:v>
      </x:c>
      <x:c r="G213" s="34" t="n">
        <x:v>1</x:v>
      </x:c>
      <x:c r="H213" s="34" t="n">
        <x:v>1</x:v>
      </x:c>
      <x:c r="I213" s="34" t="n">
        <x:v>0</x:v>
      </x:c>
      <x:c r="J213" t="str">
        <x:v>unchanged</x:v>
      </x:c>
      <x:c r="K213" t="n">
        <x:v>4</x:v>
      </x:c>
      <x:c r="L213" t="n">
        <x:v>4</x:v>
      </x:c>
      <x:c r="M213" t="n">
        <x:v>4</x:v>
      </x:c>
      <x:c r="N213" t="n">
        <x:v>4</x:v>
      </x:c>
    </x:row>
    <x:row r="214">
      <x:c r="A214" t="str">
        <x:v>a2_new_minus_old_on_old_a1</x:v>
      </x:c>
      <x:c r="B214" t="str">
        <x:v>atomic</x:v>
      </x:c>
      <x:c r="C214" t="str">
        <x:f>"qid:-9141149438582194391"</x:f>
        <x:v>qid:-9141149438582194391</x:v>
      </x:c>
      <x:c r="D214" s="14" t="str">
        <x:v>Who has scored the highest number of runs in test cricket?</x:v>
      </x:c>
      <x:c r="E214" t="str">
        <x:v>old_old</x:v>
      </x:c>
      <x:c r="F214" t="str">
        <x:v>old_new</x:v>
      </x:c>
      <x:c r="G214" s="34" t="n">
        <x:v>0.6666666666666666</x:v>
      </x:c>
      <x:c r="H214" s="34" t="n">
        <x:v>1</x:v>
      </x:c>
      <x:c r="I214" s="34" t="n">
        <x:v>0.33333333333333337</x:v>
      </x:c>
      <x:c r="J214" t="str">
        <x:v>improved</x:v>
      </x:c>
      <x:c r="K214" t="n">
        <x:v>2</x:v>
      </x:c>
      <x:c r="L214" t="n">
        <x:v>3</x:v>
      </x:c>
      <x:c r="M214" t="n">
        <x:v>3</x:v>
      </x:c>
      <x:c r="N214" t="n">
        <x:v>3</x:v>
      </x:c>
    </x:row>
    <x:row r="215">
      <x:c r="A215" t="str">
        <x:v>a2_new_minus_old_on_old_a1</x:v>
      </x:c>
      <x:c r="B215" t="str">
        <x:v>atomic</x:v>
      </x:c>
      <x:c r="C215" t="str">
        <x:f>"qid:-99543908387769967"</x:f>
        <x:v>qid:-99543908387769967</x:v>
      </x:c>
      <x:c r="D215" s="14" t="str">
        <x:v>Who does sansa marry on game of thrones?</x:v>
      </x:c>
      <x:c r="E215" t="str">
        <x:v>old_old</x:v>
      </x:c>
      <x:c r="F215" t="str">
        <x:v>old_new</x:v>
      </x:c>
      <x:c r="G215" s="34" t="n">
        <x:v>1</x:v>
      </x:c>
      <x:c r="H215" s="34" t="n">
        <x:v>1</x:v>
      </x:c>
      <x:c r="I215" s="34" t="n">
        <x:v>0</x:v>
      </x:c>
      <x:c r="J215" t="str">
        <x:v>unchanged</x:v>
      </x:c>
      <x:c r="K215" t="n">
        <x:v>2</x:v>
      </x:c>
      <x:c r="L215" t="n">
        <x:v>2</x:v>
      </x:c>
      <x:c r="M215" t="n">
        <x:v>3</x:v>
      </x:c>
      <x:c r="N215" t="n">
        <x:v>3</x:v>
      </x:c>
    </x:row>
    <x:row r="216">
      <x:c r="A216" t="str">
        <x:v>a2_new_minus_old_on_old_a1</x:v>
      </x:c>
      <x:c r="B216" t="str">
        <x:v>atomic</x:v>
      </x:c>
      <x:c r="C216" t="str">
        <x:f>"qid:16881061444712536"</x:f>
        <x:v>qid:16881061444712536</x:v>
      </x:c>
      <x:c r="D216" s="14" t="str">
        <x:v>Where does the amazon river start and finish?</x:v>
      </x:c>
      <x:c r="E216" t="str">
        <x:v>old_old</x:v>
      </x:c>
      <x:c r="F216" t="str">
        <x:v>old_new</x:v>
      </x:c>
      <x:c r="G216" s="34" t="n">
        <x:v>1</x:v>
      </x:c>
      <x:c r="H216" s="34" t="n">
        <x:v>1</x:v>
      </x:c>
      <x:c r="I216" s="34" t="n">
        <x:v>0</x:v>
      </x:c>
      <x:c r="J216" t="str">
        <x:v>unchanged</x:v>
      </x:c>
      <x:c r="K216" t="n">
        <x:v>2</x:v>
      </x:c>
      <x:c r="L216" t="n">
        <x:v>2</x:v>
      </x:c>
      <x:c r="M216" t="n">
        <x:v>2</x:v>
      </x:c>
      <x:c r="N216" t="n">
        <x:v>2</x:v>
      </x:c>
    </x:row>
    <x:row r="217">
      <x:c r="A217" t="str">
        <x:v>a2_new_minus_old_on_old_a1</x:v>
      </x:c>
      <x:c r="B217" t="str">
        <x:v>atomic</x:v>
      </x:c>
      <x:c r="C217" t="str">
        <x:f>"qid:1763163294931046731"</x:f>
        <x:v>qid:1763163294931046731</x:v>
      </x:c>
      <x:c r="D217" s="14" t="str">
        <x:v>Who played violet rutherford on leave it to beaver?</x:v>
      </x:c>
      <x:c r="E217" t="str">
        <x:v>old_old</x:v>
      </x:c>
      <x:c r="F217" t="str">
        <x:v>old_new</x:v>
      </x:c>
      <x:c r="G217" s="34" t="n">
        <x:v>1</x:v>
      </x:c>
      <x:c r="H217" s="34" t="n">
        <x:v>1</x:v>
      </x:c>
      <x:c r="I217" s="34" t="n">
        <x:v>0</x:v>
      </x:c>
      <x:c r="J217" t="str">
        <x:v>unchanged</x:v>
      </x:c>
      <x:c r="K217" t="n">
        <x:v>1</x:v>
      </x:c>
      <x:c r="L217" t="n">
        <x:v>1</x:v>
      </x:c>
      <x:c r="M217" t="n">
        <x:v>1</x:v>
      </x:c>
      <x:c r="N217" t="n">
        <x:v>1</x:v>
      </x:c>
    </x:row>
    <x:row r="218">
      <x:c r="A218" t="str">
        <x:v>a2_new_minus_old_on_old_a1</x:v>
      </x:c>
      <x:c r="B218" t="str">
        <x:v>atomic</x:v>
      </x:c>
      <x:c r="C218" t="str">
        <x:f>"qid:2221044921312683785"</x:f>
        <x:v>qid:2221044921312683785</x:v>
      </x:c>
      <x:c r="D218" s="14" t="str">
        <x:v>When did the apple tv 4k come out?</x:v>
      </x:c>
      <x:c r="E218" t="str">
        <x:v>old_old</x:v>
      </x:c>
      <x:c r="F218" t="str">
        <x:v>old_new</x:v>
      </x:c>
      <x:c r="G218" s="34" t="n">
        <x:v>1</x:v>
      </x:c>
      <x:c r="H218" s="34" t="n">
        <x:v>1</x:v>
      </x:c>
      <x:c r="I218" s="34" t="n">
        <x:v>0</x:v>
      </x:c>
      <x:c r="J218" t="str">
        <x:v>unchanged</x:v>
      </x:c>
      <x:c r="K218" t="n">
        <x:v>1</x:v>
      </x:c>
      <x:c r="L218" t="n">
        <x:v>1</x:v>
      </x:c>
      <x:c r="M218" t="n">
        <x:v>1</x:v>
      </x:c>
      <x:c r="N218" t="n">
        <x:v>1</x:v>
      </x:c>
    </x:row>
    <x:row r="219">
      <x:c r="A219" t="str">
        <x:v>a2_new_minus_old_on_old_a1</x:v>
      </x:c>
      <x:c r="B219" t="str">
        <x:v>atomic</x:v>
      </x:c>
      <x:c r="C219" t="str">
        <x:f>"qid:2469112227919120438"</x:f>
        <x:v>qid:2469112227919120438</x:v>
      </x:c>
      <x:c r="D219" s="14" t="str">
        <x:v>The creation of the senate was based on the?</x:v>
      </x:c>
      <x:c r="E219" t="str">
        <x:v>old_old</x:v>
      </x:c>
      <x:c r="F219" t="str">
        <x:v>old_new</x:v>
      </x:c>
      <x:c r="G219" s="34" t="n">
        <x:v>1</x:v>
      </x:c>
      <x:c r="H219" s="34" t="n">
        <x:v>1</x:v>
      </x:c>
      <x:c r="I219" s="34" t="n">
        <x:v>0</x:v>
      </x:c>
      <x:c r="J219" t="str">
        <x:v>unchanged</x:v>
      </x:c>
      <x:c r="K219" t="n">
        <x:v>5</x:v>
      </x:c>
      <x:c r="L219" t="n">
        <x:v>5</x:v>
      </x:c>
      <x:c r="M219" t="n">
        <x:v>5</x:v>
      </x:c>
      <x:c r="N219" t="n">
        <x:v>5</x:v>
      </x:c>
    </x:row>
    <x:row r="220">
      <x:c r="A220" t="str">
        <x:v>a2_new_minus_old_on_old_a1</x:v>
      </x:c>
      <x:c r="B220" t="str">
        <x:v>atomic</x:v>
      </x:c>
      <x:c r="C220" t="str">
        <x:f>"qid:3605104154738105404"</x:f>
        <x:v>qid:3605104154738105404</x:v>
      </x:c>
      <x:c r="D220" s="14" t="str">
        <x:v>What episode does jason gideon die in criminal minds?</x:v>
      </x:c>
      <x:c r="E220" t="str">
        <x:v>old_old</x:v>
      </x:c>
      <x:c r="F220" t="str">
        <x:v>old_new</x:v>
      </x:c>
      <x:c r="G220" s="34" t="n">
        <x:v>1</x:v>
      </x:c>
      <x:c r="H220" s="34" t="n">
        <x:v>1</x:v>
      </x:c>
      <x:c r="I220" s="34" t="n">
        <x:v>0</x:v>
      </x:c>
      <x:c r="J220" t="str">
        <x:v>unchanged</x:v>
      </x:c>
      <x:c r="K220" t="n">
        <x:v>1</x:v>
      </x:c>
      <x:c r="L220" t="n">
        <x:v>1</x:v>
      </x:c>
      <x:c r="M220" t="n">
        <x:v>1</x:v>
      </x:c>
      <x:c r="N220" t="n">
        <x:v>1</x:v>
      </x:c>
    </x:row>
    <x:row r="221">
      <x:c r="A221" t="str">
        <x:v>a2_new_minus_old_on_old_a1</x:v>
      </x:c>
      <x:c r="B221" t="str">
        <x:v>atomic</x:v>
      </x:c>
      <x:c r="C221" t="str">
        <x:f>"qid:4150448921344430432"</x:f>
        <x:v>qid:4150448921344430432</x:v>
      </x:c>
      <x:c r="D221" s="14" t="str">
        <x:v>Who were the original twins in everybody loves raymond?</x:v>
      </x:c>
      <x:c r="E221" t="str">
        <x:v>old_old</x:v>
      </x:c>
      <x:c r="F221" t="str">
        <x:v>old_new</x:v>
      </x:c>
      <x:c r="G221" s="34" t="n">
        <x:v>1</x:v>
      </x:c>
      <x:c r="H221" s="34" t="n">
        <x:v>1</x:v>
      </x:c>
      <x:c r="I221" s="34" t="n">
        <x:v>0</x:v>
      </x:c>
      <x:c r="J221" t="str">
        <x:v>unchanged</x:v>
      </x:c>
      <x:c r="K221" t="n">
        <x:v>2</x:v>
      </x:c>
      <x:c r="L221" t="n">
        <x:v>2</x:v>
      </x:c>
      <x:c r="M221" t="n">
        <x:v>2</x:v>
      </x:c>
      <x:c r="N221" t="n">
        <x:v>2</x:v>
      </x:c>
    </x:row>
    <x:row r="222">
      <x:c r="A222" t="str">
        <x:v>a2_new_minus_old_on_old_a1</x:v>
      </x:c>
      <x:c r="B222" t="str">
        <x:v>atomic</x:v>
      </x:c>
      <x:c r="C222" t="str">
        <x:f>"qid:4183252176965080529"</x:f>
        <x:v>qid:4183252176965080529</x:v>
      </x:c>
      <x:c r="D222" s="14" t="str">
        <x:v>When does the new independence day come out?</x:v>
      </x:c>
      <x:c r="E222" t="str">
        <x:v>old_old</x:v>
      </x:c>
      <x:c r="F222" t="str">
        <x:v>old_new</x:v>
      </x:c>
      <x:c r="G222" s="34" t="n">
        <x:v>1</x:v>
      </x:c>
      <x:c r="H222" s="34" t="n">
        <x:v>1</x:v>
      </x:c>
      <x:c r="I222" s="34" t="n">
        <x:v>0</x:v>
      </x:c>
      <x:c r="J222" t="str">
        <x:v>unchanged</x:v>
      </x:c>
      <x:c r="K222" t="n">
        <x:v>3</x:v>
      </x:c>
      <x:c r="L222" t="n">
        <x:v>3</x:v>
      </x:c>
      <x:c r="M222" t="n">
        <x:v>3</x:v>
      </x:c>
      <x:c r="N222" t="n">
        <x:v>3</x:v>
      </x:c>
    </x:row>
    <x:row r="223">
      <x:c r="A223" t="str">
        <x:v>a2_new_minus_old_on_old_a1</x:v>
      </x:c>
      <x:c r="B223" t="str">
        <x:v>atomic</x:v>
      </x:c>
      <x:c r="C223" t="str">
        <x:f>"qid:4474597907223412132"</x:f>
        <x:v>qid:4474597907223412132</x:v>
      </x:c>
      <x:c r="D223" s="14" t="str">
        <x:v>Who were the two astronauts who stayed a year on the iss?</x:v>
      </x:c>
      <x:c r="E223" t="str">
        <x:v>old_old</x:v>
      </x:c>
      <x:c r="F223" t="str">
        <x:v>old_new</x:v>
      </x:c>
      <x:c r="G223" s="34" t="n">
        <x:v>1</x:v>
      </x:c>
      <x:c r="H223" s="34" t="n">
        <x:v>1</x:v>
      </x:c>
      <x:c r="I223" s="34" t="n">
        <x:v>0</x:v>
      </x:c>
      <x:c r="J223" t="str">
        <x:v>unchanged</x:v>
      </x:c>
      <x:c r="K223" t="n">
        <x:v>1</x:v>
      </x:c>
      <x:c r="L223" t="n">
        <x:v>1</x:v>
      </x:c>
      <x:c r="M223" t="n">
        <x:v>2</x:v>
      </x:c>
      <x:c r="N223" t="n">
        <x:v>2</x:v>
      </x:c>
    </x:row>
    <x:row r="224">
      <x:c r="A224" t="str">
        <x:v>a2_new_minus_old_on_old_a1</x:v>
      </x:c>
      <x:c r="B224" t="str">
        <x:v>atomic</x:v>
      </x:c>
      <x:c r="C224" t="str">
        <x:f>"qid:586233275728240023"</x:f>
        <x:v>qid:586233275728240023</x:v>
      </x:c>
      <x:c r="D224" s="14" t="str">
        <x:v>What is the os of samsung smart tv?</x:v>
      </x:c>
      <x:c r="E224" t="str">
        <x:v>old_old</x:v>
      </x:c>
      <x:c r="F224" t="str">
        <x:v>old_new</x:v>
      </x:c>
      <x:c r="G224" s="34" t="n">
        <x:v>1</x:v>
      </x:c>
      <x:c r="H224" s="34" t="n">
        <x:v>1</x:v>
      </x:c>
      <x:c r="I224" s="34" t="n">
        <x:v>0</x:v>
      </x:c>
      <x:c r="J224" t="str">
        <x:v>unchanged</x:v>
      </x:c>
      <x:c r="K224" t="n">
        <x:v>1</x:v>
      </x:c>
      <x:c r="L224" t="n">
        <x:v>1</x:v>
      </x:c>
      <x:c r="M224" t="n">
        <x:v>1</x:v>
      </x:c>
      <x:c r="N224" t="n">
        <x:v>1</x:v>
      </x:c>
    </x:row>
    <x:row r="225">
      <x:c r="A225" t="str">
        <x:v>a2_new_minus_old_on_old_a1</x:v>
      </x:c>
      <x:c r="B225" t="str">
        <x:v>atomic</x:v>
      </x:c>
      <x:c r="C225" t="str">
        <x:f>"qid:6257465985316109835"</x:f>
        <x:v>qid:6257465985316109835</x:v>
      </x:c>
      <x:c r="D225" s="14" t="str">
        <x:v>Who is the main character in liv and maddie?</x:v>
      </x:c>
      <x:c r="E225" t="str">
        <x:v>old_old</x:v>
      </x:c>
      <x:c r="F225" t="str">
        <x:v>old_new</x:v>
      </x:c>
      <x:c r="G225" s="34" t="n">
        <x:v>1</x:v>
      </x:c>
      <x:c r="H225" s="34" t="n">
        <x:v>1</x:v>
      </x:c>
      <x:c r="I225" s="34" t="n">
        <x:v>0</x:v>
      </x:c>
      <x:c r="J225" t="str">
        <x:v>unchanged</x:v>
      </x:c>
      <x:c r="K225" t="n">
        <x:v>1</x:v>
      </x:c>
      <x:c r="L225" t="n">
        <x:v>1</x:v>
      </x:c>
      <x:c r="M225" t="n">
        <x:v>1</x:v>
      </x:c>
      <x:c r="N225" t="n">
        <x:v>1</x:v>
      </x:c>
    </x:row>
    <x:row r="226">
      <x:c r="A226" t="str">
        <x:v>a2_new_minus_old_on_old_a1</x:v>
      </x:c>
      <x:c r="B226" t="str">
        <x:v>atomic</x:v>
      </x:c>
      <x:c r="C226" t="str">
        <x:f>"qid:6514531923811923780"</x:f>
        <x:v>qid:6514531923811923780</x:v>
      </x:c>
      <x:c r="D226" s="14" t="str">
        <x:v>When does disney's food and wine festival end?</x:v>
      </x:c>
      <x:c r="E226" t="str">
        <x:v>old_old</x:v>
      </x:c>
      <x:c r="F226" t="str">
        <x:v>old_new</x:v>
      </x:c>
      <x:c r="G226" s="34" t="n">
        <x:v>1</x:v>
      </x:c>
      <x:c r="H226" s="34" t="n">
        <x:v>1</x:v>
      </x:c>
      <x:c r="I226" s="34" t="n">
        <x:v>0</x:v>
      </x:c>
      <x:c r="J226" t="str">
        <x:v>unchanged</x:v>
      </x:c>
      <x:c r="K226" t="n">
        <x:v>1</x:v>
      </x:c>
      <x:c r="L226" t="n">
        <x:v>1</x:v>
      </x:c>
      <x:c r="M226" t="n">
        <x:v>2</x:v>
      </x:c>
      <x:c r="N226" t="n">
        <x:v>2</x:v>
      </x:c>
    </x:row>
    <x:row r="227">
      <x:c r="A227" t="str">
        <x:v>a2_new_minus_old_on_old_a1</x:v>
      </x:c>
      <x:c r="B227" t="str">
        <x:v>atomic</x:v>
      </x:c>
      <x:c r="C227" t="str">
        <x:f>"qid:6776234528515962047"</x:f>
        <x:v>qid:6776234528515962047</x:v>
      </x:c>
      <x:c r="D227" s="14" t="str">
        <x:v>Who is the most run in cricket history?</x:v>
      </x:c>
      <x:c r="E227" t="str">
        <x:v>old_old</x:v>
      </x:c>
      <x:c r="F227" t="str">
        <x:v>old_new</x:v>
      </x:c>
      <x:c r="G227" s="34" t="n">
        <x:v>1</x:v>
      </x:c>
      <x:c r="H227" s="34" t="n">
        <x:v>0</x:v>
      </x:c>
      <x:c r="I227" s="34" t="n">
        <x:v>-1</x:v>
      </x:c>
      <x:c r="J227" t="str">
        <x:v>regressed</x:v>
      </x:c>
      <x:c r="K227" t="n">
        <x:v>2</x:v>
      </x:c>
      <x:c r="L227" t="n">
        <x:v>2</x:v>
      </x:c>
      <x:c r="M227" t="n">
        <x:v>0</x:v>
      </x:c>
      <x:c r="N227" t="n">
        <x:v>2</x:v>
      </x:c>
    </x:row>
    <x:row r="228">
      <x:c r="A228" t="str">
        <x:v>a2_new_minus_old_on_old_a1</x:v>
      </x:c>
      <x:c r="B228" t="str">
        <x:v>atomic</x:v>
      </x:c>
      <x:c r="C228" t="str">
        <x:f>"qid:6962706727076805207"</x:f>
        <x:v>qid:6962706727076805207</x:v>
      </x:c>
      <x:c r="D228" s="14" t="str">
        <x:v>What kind of car in to catch a thief?</x:v>
      </x:c>
      <x:c r="E228" t="str">
        <x:v>old_old</x:v>
      </x:c>
      <x:c r="F228" t="str">
        <x:v>old_new</x:v>
      </x:c>
      <x:c r="G228" s="34" t="n">
        <x:v>0.6666666666666666</x:v>
      </x:c>
      <x:c r="H228" s="34" t="n">
        <x:v>0.6666666666666666</x:v>
      </x:c>
      <x:c r="I228" s="34" t="n">
        <x:v>0</x:v>
      </x:c>
      <x:c r="J228" t="str">
        <x:v>unchanged</x:v>
      </x:c>
      <x:c r="K228" t="n">
        <x:v>2</x:v>
      </x:c>
      <x:c r="L228" t="n">
        <x:v>3</x:v>
      </x:c>
      <x:c r="M228" t="n">
        <x:v>2</x:v>
      </x:c>
      <x:c r="N228" t="n">
        <x:v>3</x:v>
      </x:c>
    </x:row>
    <x:row r="229">
      <x:c r="A229" t="str">
        <x:v>a2_new_minus_old_on_old_a1</x:v>
      </x:c>
      <x:c r="B229" t="str">
        <x:v>atomic</x:v>
      </x:c>
      <x:c r="C229" t="str">
        <x:f>"qid:7150599999316106461"</x:f>
        <x:v>qid:7150599999316106461</x:v>
      </x:c>
      <x:c r="D229" s="14" t="str">
        <x:v>Who was the first singing brothers in the hall of fame?</x:v>
      </x:c>
      <x:c r="E229" t="str">
        <x:v>old_old</x:v>
      </x:c>
      <x:c r="F229" t="str">
        <x:v>old_new</x:v>
      </x:c>
      <x:c r="G229" s="34" t="n">
        <x:v>1</x:v>
      </x:c>
      <x:c r="H229" s="34" t="n">
        <x:v>1</x:v>
      </x:c>
      <x:c r="I229" s="34" t="n">
        <x:v>0</x:v>
      </x:c>
      <x:c r="J229" t="str">
        <x:v>unchanged</x:v>
      </x:c>
      <x:c r="K229" t="n">
        <x:v>2</x:v>
      </x:c>
      <x:c r="L229" t="n">
        <x:v>2</x:v>
      </x:c>
      <x:c r="M229" t="n">
        <x:v>2</x:v>
      </x:c>
      <x:c r="N229" t="n">
        <x:v>2</x:v>
      </x:c>
    </x:row>
    <x:row r="230">
      <x:c r="A230" t="str">
        <x:v>a2_new_minus_old_on_old_a1</x:v>
      </x:c>
      <x:c r="B230" t="str">
        <x:v>atomic</x:v>
      </x:c>
      <x:c r="C230" t="str">
        <x:f>"qid:732619765350082410"</x:f>
        <x:v>qid:732619765350082410</x:v>
      </x:c>
      <x:c r="D230" s="14" t="str">
        <x:v>When did toronto host the mlb all-star game?</x:v>
      </x:c>
      <x:c r="E230" t="str">
        <x:v>old_old</x:v>
      </x:c>
      <x:c r="F230" t="str">
        <x:v>old_new</x:v>
      </x:c>
      <x:c r="G230" s="34" t="n">
        <x:v>1</x:v>
      </x:c>
      <x:c r="H230" s="34" t="n">
        <x:v>1</x:v>
      </x:c>
      <x:c r="I230" s="34" t="n">
        <x:v>0</x:v>
      </x:c>
      <x:c r="J230" t="str">
        <x:v>unchanged</x:v>
      </x:c>
      <x:c r="K230" t="n">
        <x:v>1</x:v>
      </x:c>
      <x:c r="L230" t="n">
        <x:v>1</x:v>
      </x:c>
      <x:c r="M230" t="n">
        <x:v>1</x:v>
      </x:c>
      <x:c r="N230" t="n">
        <x:v>1</x:v>
      </x:c>
    </x:row>
    <x:row r="231">
      <x:c r="A231" t="str">
        <x:v>a2_new_minus_old_on_old_a1</x:v>
      </x:c>
      <x:c r="B231" t="str">
        <x:v>atomic</x:v>
      </x:c>
      <x:c r="C231" t="str">
        <x:f>"qid:743600309736467122"</x:f>
        <x:v>qid:743600309736467122</x:v>
      </x:c>
      <x:c r="D231" s="14" t="str">
        <x:v>When was on the revolutions of the heavenly spheres published?</x:v>
      </x:c>
      <x:c r="E231" t="str">
        <x:v>old_old</x:v>
      </x:c>
      <x:c r="F231" t="str">
        <x:v>old_new</x:v>
      </x:c>
      <x:c r="G231" s="34" t="n">
        <x:v>1</x:v>
      </x:c>
      <x:c r="H231" s="34" t="n">
        <x:v>1</x:v>
      </x:c>
      <x:c r="I231" s="34" t="n">
        <x:v>0</x:v>
      </x:c>
      <x:c r="J231" t="str">
        <x:v>unchanged</x:v>
      </x:c>
      <x:c r="K231" t="n">
        <x:v>2</x:v>
      </x:c>
      <x:c r="L231" t="n">
        <x:v>2</x:v>
      </x:c>
      <x:c r="M231" t="n">
        <x:v>2</x:v>
      </x:c>
      <x:c r="N231" t="n">
        <x:v>2</x:v>
      </x:c>
    </x:row>
    <x:row r="232">
      <x:c r="A232" t="str">
        <x:v>a2_new_minus_old_on_old_a1</x:v>
      </x:c>
      <x:c r="B232" t="str">
        <x:v>atomic</x:v>
      </x:c>
      <x:c r="C232" t="str">
        <x:f>"qid:7797208395147217894"</x:f>
        <x:v>qid:7797208395147217894</x:v>
      </x:c>
      <x:c r="D232" s="14" t="str">
        <x:v>When did west germany win the world cup?</x:v>
      </x:c>
      <x:c r="E232" t="str">
        <x:v>old_old</x:v>
      </x:c>
      <x:c r="F232" t="str">
        <x:v>old_new</x:v>
      </x:c>
      <x:c r="G232" s="34" t="n">
        <x:v>1</x:v>
      </x:c>
      <x:c r="H232" s="34" t="n">
        <x:v>1</x:v>
      </x:c>
      <x:c r="I232" s="34" t="n">
        <x:v>0</x:v>
      </x:c>
      <x:c r="J232" t="str">
        <x:v>unchanged</x:v>
      </x:c>
      <x:c r="K232" t="n">
        <x:v>4</x:v>
      </x:c>
      <x:c r="L232" t="n">
        <x:v>4</x:v>
      </x:c>
      <x:c r="M232" t="n">
        <x:v>4</x:v>
      </x:c>
      <x:c r="N232" t="n">
        <x:v>4</x:v>
      </x:c>
    </x:row>
    <x:row r="233">
      <x:c r="A233" t="str">
        <x:v>a2_new_minus_old_on_old_a1</x:v>
      </x:c>
      <x:c r="B233" t="str">
        <x:v>atomic</x:v>
      </x:c>
      <x:c r="C233" t="str">
        <x:f>"qid:8433533625736230886"</x:f>
        <x:v>qid:8433533625736230886</x:v>
      </x:c>
      <x:c r="D233" s="14" t="str">
        <x:v>Who has won the most trophies man utd or liverpool?</x:v>
      </x:c>
      <x:c r="E233" t="str">
        <x:v>old_old</x:v>
      </x:c>
      <x:c r="F233" t="str">
        <x:v>old_new</x:v>
      </x:c>
      <x:c r="G233" s="34" t="n">
        <x:v>1</x:v>
      </x:c>
      <x:c r="H233" s="34" t="n">
        <x:v>1</x:v>
      </x:c>
      <x:c r="I233" s="34" t="n">
        <x:v>0</x:v>
      </x:c>
      <x:c r="J233" t="str">
        <x:v>unchanged</x:v>
      </x:c>
      <x:c r="K233" t="n">
        <x:v>1</x:v>
      </x:c>
      <x:c r="L233" t="n">
        <x:v>1</x:v>
      </x:c>
      <x:c r="M233" t="n">
        <x:v>1</x:v>
      </x:c>
      <x:c r="N233" t="n">
        <x:v>1</x:v>
      </x:c>
    </x:row>
    <x:row r="234">
      <x:c r="A234" t="str">
        <x:v>a2_new_minus_old_on_old_a1</x:v>
      </x:c>
      <x:c r="B234" t="str">
        <x:v>atomic</x:v>
      </x:c>
      <x:c r="C234" t="str">
        <x:f>"qid:8686216144939155905"</x:f>
        <x:v>qid:8686216144939155905</x:v>
      </x:c>
      <x:c r="D234" s="14" t="str">
        <x:v>What is the name of the time zone for london?</x:v>
      </x:c>
      <x:c r="E234" t="str">
        <x:v>old_old</x:v>
      </x:c>
      <x:c r="F234" t="str">
        <x:v>old_new</x:v>
      </x:c>
      <x:c r="G234" s="34" t="n">
        <x:v>1</x:v>
      </x:c>
      <x:c r="H234" s="34" t="n">
        <x:v>1</x:v>
      </x:c>
      <x:c r="I234" s="34" t="n">
        <x:v>0</x:v>
      </x:c>
      <x:c r="J234" t="str">
        <x:v>unchanged</x:v>
      </x:c>
      <x:c r="K234" t="n">
        <x:v>1</x:v>
      </x:c>
      <x:c r="L234" t="n">
        <x:v>1</x:v>
      </x:c>
      <x:c r="M234" t="n">
        <x:v>1</x:v>
      </x:c>
      <x:c r="N234" t="n">
        <x:v>1</x:v>
      </x:c>
    </x:row>
    <x:row r="235">
      <x:c r="A235" t="str">
        <x:v>a2_new_minus_old_on_old_a1</x:v>
      </x:c>
      <x:c r="B235" t="str">
        <x:v>atomic</x:v>
      </x:c>
      <x:c r="C235" t="str">
        <x:f>"qid:87005427005915954"</x:f>
        <x:v>qid:87005427005915954</x:v>
      </x:c>
      <x:c r="D235" s="14" t="str">
        <x:v>When was the last time galway won the hurling all ireland?</x:v>
      </x:c>
      <x:c r="E235" t="str">
        <x:v>old_old</x:v>
      </x:c>
      <x:c r="F235" t="str">
        <x:v>old_new</x:v>
      </x:c>
      <x:c r="G235" s="34" t="n">
        <x:v>1</x:v>
      </x:c>
      <x:c r="H235" s="34" t="n">
        <x:v>1</x:v>
      </x:c>
      <x:c r="I235" s="34" t="n">
        <x:v>0</x:v>
      </x:c>
      <x:c r="J235" t="str">
        <x:v>unchanged</x:v>
      </x:c>
      <x:c r="K235" t="n">
        <x:v>1</x:v>
      </x:c>
      <x:c r="L235" t="n">
        <x:v>1</x:v>
      </x:c>
      <x:c r="M235" t="n">
        <x:v>1</x:v>
      </x:c>
      <x:c r="N235" t="n">
        <x:v>1</x:v>
      </x:c>
    </x:row>
    <x:row r="236">
      <x:c r="A236" t="str">
        <x:v>a2_new_minus_old_on_old_a1</x:v>
      </x:c>
      <x:c r="B236" t="str">
        <x:v>self_contained</x:v>
      </x:c>
      <x:c r="C236" t="str">
        <x:f>"qid:-1062522255440685408"</x:f>
        <x:v>qid:-1062522255440685408</x:v>
      </x:c>
      <x:c r="D236" s="14" t="str">
        <x:v>When did the first generation kindle fire come out?</x:v>
      </x:c>
      <x:c r="E236" t="str">
        <x:v>old_old</x:v>
      </x:c>
      <x:c r="F236" t="str">
        <x:v>old_new</x:v>
      </x:c>
      <x:c r="G236" s="34" t="n">
        <x:v>1</x:v>
      </x:c>
      <x:c r="H236" s="34" t="n">
        <x:v>1</x:v>
      </x:c>
      <x:c r="I236" s="34" t="n">
        <x:v>0</x:v>
      </x:c>
      <x:c r="J236" t="str">
        <x:v>unchanged</x:v>
      </x:c>
      <x:c r="K236" t="n">
        <x:v>1</x:v>
      </x:c>
      <x:c r="L236" t="n">
        <x:v>1</x:v>
      </x:c>
      <x:c r="M236" t="n">
        <x:v>1</x:v>
      </x:c>
      <x:c r="N236" t="n">
        <x:v>1</x:v>
      </x:c>
    </x:row>
    <x:row r="237">
      <x:c r="A237" t="str">
        <x:v>a2_new_minus_old_on_old_a1</x:v>
      </x:c>
      <x:c r="B237" t="str">
        <x:v>self_contained</x:v>
      </x:c>
      <x:c r="C237" t="str">
        <x:f>"qid:-2585133819352441604"</x:f>
        <x:v>qid:-2585133819352441604</x:v>
      </x:c>
      <x:c r="D237" s="14" t="str">
        <x:v>Name of first episode of this is us?</x:v>
      </x:c>
      <x:c r="E237" t="str">
        <x:v>old_old</x:v>
      </x:c>
      <x:c r="F237" t="str">
        <x:v>old_new</x:v>
      </x:c>
      <x:c r="G237" s="34" t="n">
        <x:v>1</x:v>
      </x:c>
      <x:c r="H237" s="34" t="n">
        <x:v>1</x:v>
      </x:c>
      <x:c r="I237" s="34" t="n">
        <x:v>0</x:v>
      </x:c>
      <x:c r="J237" t="str">
        <x:v>unchanged</x:v>
      </x:c>
      <x:c r="K237" t="n">
        <x:v>1</x:v>
      </x:c>
      <x:c r="L237" t="n">
        <x:v>1</x:v>
      </x:c>
      <x:c r="M237" t="n">
        <x:v>1</x:v>
      </x:c>
      <x:c r="N237" t="n">
        <x:v>1</x:v>
      </x:c>
    </x:row>
    <x:row r="238">
      <x:c r="A238" t="str">
        <x:v>a2_new_minus_old_on_old_a1</x:v>
      </x:c>
      <x:c r="B238" t="str">
        <x:v>self_contained</x:v>
      </x:c>
      <x:c r="C238" t="str">
        <x:f>"qid:-3228483207040151533"</x:f>
        <x:v>qid:-3228483207040151533</x:v>
      </x:c>
      <x:c r="D238" s="14" t="str">
        <x:v>What bodies of water surround cabo san lucas?</x:v>
      </x:c>
      <x:c r="E238" t="str">
        <x:v>old_old</x:v>
      </x:c>
      <x:c r="F238" t="str">
        <x:v>old_new</x:v>
      </x:c>
      <x:c r="G238" s="34" t="n">
        <x:v>1</x:v>
      </x:c>
      <x:c r="H238" s="34" t="n">
        <x:v>1</x:v>
      </x:c>
      <x:c r="I238" s="34" t="n">
        <x:v>0</x:v>
      </x:c>
      <x:c r="J238" t="str">
        <x:v>unchanged</x:v>
      </x:c>
      <x:c r="K238" t="n">
        <x:v>1</x:v>
      </x:c>
      <x:c r="L238" t="n">
        <x:v>1</x:v>
      </x:c>
      <x:c r="M238" t="n">
        <x:v>1</x:v>
      </x:c>
      <x:c r="N238" t="n">
        <x:v>1</x:v>
      </x:c>
    </x:row>
    <x:row r="239">
      <x:c r="A239" t="str">
        <x:v>a2_new_minus_old_on_old_a1</x:v>
      </x:c>
      <x:c r="B239" t="str">
        <x:v>self_contained</x:v>
      </x:c>
      <x:c r="C239" t="str">
        <x:f>"qid:-3279585462082900736"</x:f>
        <x:v>qid:-3279585462082900736</x:v>
      </x:c>
      <x:c r="D239" s="14" t="str">
        <x:v>Who gets fired on grey's anatomy season 6?</x:v>
      </x:c>
      <x:c r="E239" t="str">
        <x:v>old_old</x:v>
      </x:c>
      <x:c r="F239" t="str">
        <x:v>old_new</x:v>
      </x:c>
      <x:c r="G239" s="34" t="n">
        <x:v>1</x:v>
      </x:c>
      <x:c r="H239" s="34" t="n">
        <x:v>1</x:v>
      </x:c>
      <x:c r="I239" s="34" t="n">
        <x:v>0</x:v>
      </x:c>
      <x:c r="J239" t="str">
        <x:v>unchanged</x:v>
      </x:c>
      <x:c r="K239" t="n">
        <x:v>1</x:v>
      </x:c>
      <x:c r="L239" t="n">
        <x:v>1</x:v>
      </x:c>
      <x:c r="M239" t="n">
        <x:v>1</x:v>
      </x:c>
      <x:c r="N239" t="n">
        <x:v>1</x:v>
      </x:c>
    </x:row>
    <x:row r="240">
      <x:c r="A240" t="str">
        <x:v>a2_new_minus_old_on_old_a1</x:v>
      </x:c>
      <x:c r="B240" t="str">
        <x:v>self_contained</x:v>
      </x:c>
      <x:c r="C240" t="str">
        <x:f>"qid:-3344541168958463110"</x:f>
        <x:v>qid:-3344541168958463110</x:v>
      </x:c>
      <x:c r="D240" s="14" t="str">
        <x:v>Who fought with an angel in the bible?</x:v>
      </x:c>
      <x:c r="E240" t="str">
        <x:v>old_old</x:v>
      </x:c>
      <x:c r="F240" t="str">
        <x:v>old_new</x:v>
      </x:c>
      <x:c r="G240" s="34" t="n">
        <x:v>0.5</x:v>
      </x:c>
      <x:c r="H240" s="34" t="n">
        <x:v>0.5</x:v>
      </x:c>
      <x:c r="I240" s="34" t="n">
        <x:v>0</x:v>
      </x:c>
      <x:c r="J240" t="str">
        <x:v>unchanged</x:v>
      </x:c>
      <x:c r="K240" t="n">
        <x:v>1</x:v>
      </x:c>
      <x:c r="L240" t="n">
        <x:v>2</x:v>
      </x:c>
      <x:c r="M240" t="n">
        <x:v>1</x:v>
      </x:c>
      <x:c r="N240" t="n">
        <x:v>2</x:v>
      </x:c>
    </x:row>
    <x:row r="241">
      <x:c r="A241" t="str">
        <x:v>a2_new_minus_old_on_old_a1</x:v>
      </x:c>
      <x:c r="B241" t="str">
        <x:v>self_contained</x:v>
      </x:c>
      <x:c r="C241" t="str">
        <x:f>"qid:-3904805932335139116"</x:f>
        <x:v>qid:-3904805932335139116</x:v>
      </x:c>
      <x:c r="D241" s="14" t="str">
        <x:v>What was the daughter's name on the jetsons?</x:v>
      </x:c>
      <x:c r="E241" t="str">
        <x:v>old_old</x:v>
      </x:c>
      <x:c r="F241" t="str">
        <x:v>old_new</x:v>
      </x:c>
      <x:c r="G241" s="34" t="n">
        <x:v>1</x:v>
      </x:c>
      <x:c r="H241" s="34" t="n">
        <x:v>1</x:v>
      </x:c>
      <x:c r="I241" s="34" t="n">
        <x:v>0</x:v>
      </x:c>
      <x:c r="J241" t="str">
        <x:v>unchanged</x:v>
      </x:c>
      <x:c r="K241" t="n">
        <x:v>1</x:v>
      </x:c>
      <x:c r="L241" t="n">
        <x:v>1</x:v>
      </x:c>
      <x:c r="M241" t="n">
        <x:v>1</x:v>
      </x:c>
      <x:c r="N241" t="n">
        <x:v>1</x:v>
      </x:c>
    </x:row>
    <x:row r="242">
      <x:c r="A242" t="str">
        <x:v>a2_new_minus_old_on_old_a1</x:v>
      </x:c>
      <x:c r="B242" t="str">
        <x:v>self_contained</x:v>
      </x:c>
      <x:c r="C242" t="str">
        <x:f>"qid:-4286108617234818000"</x:f>
        <x:v>qid:-4286108617234818000</x:v>
      </x:c>
      <x:c r="D242" s="14" t="str">
        <x:v>When does the new super troopers movie come out?</x:v>
      </x:c>
      <x:c r="E242" t="str">
        <x:v>old_old</x:v>
      </x:c>
      <x:c r="F242" t="str">
        <x:v>old_new</x:v>
      </x:c>
      <x:c r="G242" s="34" t="n">
        <x:v>1</x:v>
      </x:c>
      <x:c r="H242" s="34" t="n">
        <x:v>1</x:v>
      </x:c>
      <x:c r="I242" s="34" t="n">
        <x:v>0</x:v>
      </x:c>
      <x:c r="J242" t="str">
        <x:v>unchanged</x:v>
      </x:c>
      <x:c r="K242" t="n">
        <x:v>1</x:v>
      </x:c>
      <x:c r="L242" t="n">
        <x:v>1</x:v>
      </x:c>
      <x:c r="M242" t="n">
        <x:v>1</x:v>
      </x:c>
      <x:c r="N242" t="n">
        <x:v>1</x:v>
      </x:c>
    </x:row>
    <x:row r="243">
      <x:c r="A243" t="str">
        <x:v>a2_new_minus_old_on_old_a1</x:v>
      </x:c>
      <x:c r="B243" t="str">
        <x:v>self_contained</x:v>
      </x:c>
      <x:c r="C243" t="str">
        <x:f>"qid:-4456614433280196572"</x:f>
        <x:v>qid:-4456614433280196572</x:v>
      </x:c>
      <x:c r="D243" s="14" t="str">
        <x:v>What season does meredith and derek get married in grey's anatomy?</x:v>
      </x:c>
      <x:c r="E243" t="str">
        <x:v>old_old</x:v>
      </x:c>
      <x:c r="F243" t="str">
        <x:v>old_new</x:v>
      </x:c>
      <x:c r="G243" s="34" t="n">
        <x:v>1</x:v>
      </x:c>
      <x:c r="H243" s="34" t="n">
        <x:v>0</x:v>
      </x:c>
      <x:c r="I243" s="34" t="n">
        <x:v>-1</x:v>
      </x:c>
      <x:c r="J243" t="str">
        <x:v>regressed</x:v>
      </x:c>
      <x:c r="K243" t="n">
        <x:v>1</x:v>
      </x:c>
      <x:c r="L243" t="n">
        <x:v>1</x:v>
      </x:c>
      <x:c r="M243" t="n">
        <x:v>0</x:v>
      </x:c>
      <x:c r="N243" t="n">
        <x:v>1</x:v>
      </x:c>
    </x:row>
    <x:row r="244">
      <x:c r="A244" t="str">
        <x:v>a2_new_minus_old_on_old_a1</x:v>
      </x:c>
      <x:c r="B244" t="str">
        <x:v>self_contained</x:v>
      </x:c>
      <x:c r="C244" t="str">
        <x:f>"qid:-447198893588059167"</x:f>
        <x:v>qid:-447198893588059167</x:v>
      </x:c>
      <x:c r="D244" s="14" t="str">
        <x:v>Who played the father in leave it to beaver?</x:v>
      </x:c>
      <x:c r="E244" t="str">
        <x:v>old_old</x:v>
      </x:c>
      <x:c r="F244" t="str">
        <x:v>old_new</x:v>
      </x:c>
      <x:c r="G244" s="34" t="n">
        <x:v>1</x:v>
      </x:c>
      <x:c r="H244" s="34" t="n">
        <x:v>1</x:v>
      </x:c>
      <x:c r="I244" s="34" t="n">
        <x:v>0</x:v>
      </x:c>
      <x:c r="J244" t="str">
        <x:v>unchanged</x:v>
      </x:c>
      <x:c r="K244" t="n">
        <x:v>1</x:v>
      </x:c>
      <x:c r="L244" t="n">
        <x:v>1</x:v>
      </x:c>
      <x:c r="M244" t="n">
        <x:v>1</x:v>
      </x:c>
      <x:c r="N244" t="n">
        <x:v>1</x:v>
      </x:c>
    </x:row>
    <x:row r="245">
      <x:c r="A245" t="str">
        <x:v>a2_new_minus_old_on_old_a1</x:v>
      </x:c>
      <x:c r="B245" t="str">
        <x:v>self_contained</x:v>
      </x:c>
      <x:c r="C245" t="str">
        <x:f>"qid:-4649654703638364295"</x:f>
        <x:v>qid:-4649654703638364295</x:v>
      </x:c>
      <x:c r="D245" s="14" t="str">
        <x:v>Who made it through the divisional finals world of dance?</x:v>
      </x:c>
      <x:c r="E245" t="str">
        <x:v>old_old</x:v>
      </x:c>
      <x:c r="F245" t="str">
        <x:v>old_new</x:v>
      </x:c>
      <x:c r="G245" s="34" t="n">
        <x:v>1</x:v>
      </x:c>
      <x:c r="H245" s="34" t="n">
        <x:v>1</x:v>
      </x:c>
      <x:c r="I245" s="34" t="n">
        <x:v>0</x:v>
      </x:c>
      <x:c r="J245" t="str">
        <x:v>unchanged</x:v>
      </x:c>
      <x:c r="K245" t="n">
        <x:v>1</x:v>
      </x:c>
      <x:c r="L245" t="n">
        <x:v>1</x:v>
      </x:c>
      <x:c r="M245" t="n">
        <x:v>1</x:v>
      </x:c>
      <x:c r="N245" t="n">
        <x:v>1</x:v>
      </x:c>
    </x:row>
    <x:row r="246">
      <x:c r="A246" t="str">
        <x:v>a2_new_minus_old_on_old_a1</x:v>
      </x:c>
      <x:c r="B246" t="str">
        <x:v>self_contained</x:v>
      </x:c>
      <x:c r="C246" t="str">
        <x:f>"qid:-4873786835306543030"</x:f>
        <x:v>qid:-4873786835306543030</x:v>
      </x:c>
      <x:c r="D246" s="14" t="str">
        <x:v>Who is the chief minister of m. p?</x:v>
      </x:c>
      <x:c r="E246" t="str">
        <x:v>old_old</x:v>
      </x:c>
      <x:c r="F246" t="str">
        <x:v>old_new</x:v>
      </x:c>
      <x:c r="G246" s="34" t="n">
        <x:v>1</x:v>
      </x:c>
      <x:c r="H246" s="34" t="n">
        <x:v>1</x:v>
      </x:c>
      <x:c r="I246" s="34" t="n">
        <x:v>0</x:v>
      </x:c>
      <x:c r="J246" t="str">
        <x:v>unchanged</x:v>
      </x:c>
      <x:c r="K246" t="n">
        <x:v>1</x:v>
      </x:c>
      <x:c r="L246" t="n">
        <x:v>1</x:v>
      </x:c>
      <x:c r="M246" t="n">
        <x:v>1</x:v>
      </x:c>
      <x:c r="N246" t="n">
        <x:v>1</x:v>
      </x:c>
    </x:row>
    <x:row r="247">
      <x:c r="A247" t="str">
        <x:v>a2_new_minus_old_on_old_a1</x:v>
      </x:c>
      <x:c r="B247" t="str">
        <x:v>self_contained</x:v>
      </x:c>
      <x:c r="C247" t="str">
        <x:f>"qid:-4995398567532229571"</x:f>
        <x:v>qid:-4995398567532229571</x:v>
      </x:c>
      <x:c r="D247" s="14" t="str">
        <x:v>When did ragtime flourished in the united states?</x:v>
      </x:c>
      <x:c r="E247" t="str">
        <x:v>old_old</x:v>
      </x:c>
      <x:c r="F247" t="str">
        <x:v>old_new</x:v>
      </x:c>
      <x:c r="G247" s="34" t="n">
        <x:v>1</x:v>
      </x:c>
      <x:c r="H247" s="34" t="n">
        <x:v>1</x:v>
      </x:c>
      <x:c r="I247" s="34" t="n">
        <x:v>0</x:v>
      </x:c>
      <x:c r="J247" t="str">
        <x:v>unchanged</x:v>
      </x:c>
      <x:c r="K247" t="n">
        <x:v>2</x:v>
      </x:c>
      <x:c r="L247" t="n">
        <x:v>2</x:v>
      </x:c>
      <x:c r="M247" t="n">
        <x:v>2</x:v>
      </x:c>
      <x:c r="N247" t="n">
        <x:v>2</x:v>
      </x:c>
    </x:row>
    <x:row r="248">
      <x:c r="A248" t="str">
        <x:v>a2_new_minus_old_on_old_a1</x:v>
      </x:c>
      <x:c r="B248" t="str">
        <x:v>self_contained</x:v>
      </x:c>
      <x:c r="C248" t="str">
        <x:f>"qid:-5036947181661390825"</x:f>
        <x:v>qid:-5036947181661390825</x:v>
      </x:c>
      <x:c r="D248" s="14" t="str">
        <x:v>When was the vietnam veterans war memorial built?</x:v>
      </x:c>
      <x:c r="E248" t="str">
        <x:v>old_old</x:v>
      </x:c>
      <x:c r="F248" t="str">
        <x:v>old_new</x:v>
      </x:c>
      <x:c r="G248" s="34" t="n">
        <x:v>1</x:v>
      </x:c>
      <x:c r="H248" s="34" t="n">
        <x:v>1</x:v>
      </x:c>
      <x:c r="I248" s="34" t="n">
        <x:v>0</x:v>
      </x:c>
      <x:c r="J248" t="str">
        <x:v>unchanged</x:v>
      </x:c>
      <x:c r="K248" t="n">
        <x:v>1</x:v>
      </x:c>
      <x:c r="L248" t="n">
        <x:v>1</x:v>
      </x:c>
      <x:c r="M248" t="n">
        <x:v>1</x:v>
      </x:c>
      <x:c r="N248" t="n">
        <x:v>1</x:v>
      </x:c>
    </x:row>
    <x:row r="249">
      <x:c r="A249" t="str">
        <x:v>a2_new_minus_old_on_old_a1</x:v>
      </x:c>
      <x:c r="B249" t="str">
        <x:v>self_contained</x:v>
      </x:c>
      <x:c r="C249" t="str">
        <x:f>"qid:-5116644172939113883"</x:f>
        <x:v>qid:-5116644172939113883</x:v>
      </x:c>
      <x:c r="D249" s="14" t="str">
        <x:v>Who raps in the gorillaz song clint eastwood?</x:v>
      </x:c>
      <x:c r="E249" t="str">
        <x:v>old_old</x:v>
      </x:c>
      <x:c r="F249" t="str">
        <x:v>old_new</x:v>
      </x:c>
      <x:c r="G249" s="34" t="n">
        <x:v>1</x:v>
      </x:c>
      <x:c r="H249" s="34" t="n">
        <x:v>1</x:v>
      </x:c>
      <x:c r="I249" s="34" t="n">
        <x:v>0</x:v>
      </x:c>
      <x:c r="J249" t="str">
        <x:v>unchanged</x:v>
      </x:c>
      <x:c r="K249" t="n">
        <x:v>1</x:v>
      </x:c>
      <x:c r="L249" t="n">
        <x:v>1</x:v>
      </x:c>
      <x:c r="M249" t="n">
        <x:v>1</x:v>
      </x:c>
      <x:c r="N249" t="n">
        <x:v>1</x:v>
      </x:c>
    </x:row>
    <x:row r="250">
      <x:c r="A250" t="str">
        <x:v>a2_new_minus_old_on_old_a1</x:v>
      </x:c>
      <x:c r="B250" t="str">
        <x:v>self_contained</x:v>
      </x:c>
      <x:c r="C250" t="str">
        <x:f>"qid:-5333049627570569397"</x:f>
        <x:v>qid:-5333049627570569397</x:v>
      </x:c>
      <x:c r="D250" s="14" t="str">
        <x:v>When did the song can't touch this come out?</x:v>
      </x:c>
      <x:c r="E250" t="str">
        <x:v>old_old</x:v>
      </x:c>
      <x:c r="F250" t="str">
        <x:v>old_new</x:v>
      </x:c>
      <x:c r="G250" s="34" t="n">
        <x:v>1</x:v>
      </x:c>
      <x:c r="H250" s="34" t="n">
        <x:v>1</x:v>
      </x:c>
      <x:c r="I250" s="34" t="n">
        <x:v>0</x:v>
      </x:c>
      <x:c r="J250" t="str">
        <x:v>unchanged</x:v>
      </x:c>
      <x:c r="K250" t="n">
        <x:v>1</x:v>
      </x:c>
      <x:c r="L250" t="n">
        <x:v>1</x:v>
      </x:c>
      <x:c r="M250" t="n">
        <x:v>1</x:v>
      </x:c>
      <x:c r="N250" t="n">
        <x:v>1</x:v>
      </x:c>
    </x:row>
    <x:row r="251">
      <x:c r="A251" t="str">
        <x:v>a2_new_minus_old_on_old_a1</x:v>
      </x:c>
      <x:c r="B251" t="str">
        <x:v>self_contained</x:v>
      </x:c>
      <x:c r="C251" t="str">
        <x:f>"qid:-5564120845047915486"</x:f>
        <x:v>qid:-5564120845047915486</x:v>
      </x:c>
      <x:c r="D251" s="14" t="str">
        <x:v>Where do you find a simple gear train?</x:v>
      </x:c>
      <x:c r="E251" t="str">
        <x:v>old_old</x:v>
      </x:c>
      <x:c r="F251" t="str">
        <x:v>old_new</x:v>
      </x:c>
      <x:c r="G251" s="34" t="n">
        <x:v>1</x:v>
      </x:c>
      <x:c r="H251" s="34" t="n">
        <x:v>1</x:v>
      </x:c>
      <x:c r="I251" s="34" t="n">
        <x:v>0</x:v>
      </x:c>
      <x:c r="J251" t="str">
        <x:v>unchanged</x:v>
      </x:c>
      <x:c r="K251" t="n">
        <x:v>4</x:v>
      </x:c>
      <x:c r="L251" t="n">
        <x:v>4</x:v>
      </x:c>
      <x:c r="M251" t="n">
        <x:v>4</x:v>
      </x:c>
      <x:c r="N251" t="n">
        <x:v>4</x:v>
      </x:c>
    </x:row>
    <x:row r="252">
      <x:c r="A252" t="str">
        <x:v>a2_new_minus_old_on_old_a1</x:v>
      </x:c>
      <x:c r="B252" t="str">
        <x:v>self_contained</x:v>
      </x:c>
      <x:c r="C252" t="str">
        <x:f>"qid:-62521546794442829"</x:f>
        <x:v>qid:-62521546794442829</x:v>
      </x:c>
      <x:c r="D252" s="14" t="str">
        <x:v>For whom was the battle of king's mountain a victory?</x:v>
      </x:c>
      <x:c r="E252" t="str">
        <x:v>old_old</x:v>
      </x:c>
      <x:c r="F252" t="str">
        <x:v>old_new</x:v>
      </x:c>
      <x:c r="G252" s="34" t="n">
        <x:v>1</x:v>
      </x:c>
      <x:c r="H252" s="34" t="n">
        <x:v>1</x:v>
      </x:c>
      <x:c r="I252" s="34" t="n">
        <x:v>0</x:v>
      </x:c>
      <x:c r="J252" t="str">
        <x:v>unchanged</x:v>
      </x:c>
      <x:c r="K252" t="n">
        <x:v>1</x:v>
      </x:c>
      <x:c r="L252" t="n">
        <x:v>1</x:v>
      </x:c>
      <x:c r="M252" t="n">
        <x:v>1</x:v>
      </x:c>
      <x:c r="N252" t="n">
        <x:v>1</x:v>
      </x:c>
    </x:row>
    <x:row r="253">
      <x:c r="A253" t="str">
        <x:v>a2_new_minus_old_on_old_a1</x:v>
      </x:c>
      <x:c r="B253" t="str">
        <x:v>self_contained</x:v>
      </x:c>
      <x:c r="C253" t="str">
        <x:f>"qid:-6702031255040326279"</x:f>
        <x:v>qid:-6702031255040326279</x:v>
      </x:c>
      <x:c r="D253" s="14" t="str">
        <x:v>Which of the animal is a carrier of h1n1?</x:v>
      </x:c>
      <x:c r="E253" t="str">
        <x:v>old_old</x:v>
      </x:c>
      <x:c r="F253" t="str">
        <x:v>old_new</x:v>
      </x:c>
      <x:c r="G253" s="34" t="n">
        <x:v>1</x:v>
      </x:c>
      <x:c r="H253" s="34" t="n">
        <x:v>1</x:v>
      </x:c>
      <x:c r="I253" s="34" t="n">
        <x:v>0</x:v>
      </x:c>
      <x:c r="J253" t="str">
        <x:v>unchanged</x:v>
      </x:c>
      <x:c r="K253" t="n">
        <x:v>2</x:v>
      </x:c>
      <x:c r="L253" t="n">
        <x:v>2</x:v>
      </x:c>
      <x:c r="M253" t="n">
        <x:v>2</x:v>
      </x:c>
      <x:c r="N253" t="n">
        <x:v>2</x:v>
      </x:c>
    </x:row>
    <x:row r="254">
      <x:c r="A254" t="str">
        <x:v>a2_new_minus_old_on_old_a1</x:v>
      </x:c>
      <x:c r="B254" t="str">
        <x:v>self_contained</x:v>
      </x:c>
      <x:c r="C254" t="str">
        <x:f>"qid:-728189424752983312"</x:f>
        <x:v>qid:-728189424752983312</x:v>
      </x:c>
      <x:c r="D254" s="14" t="str">
        <x:v>Where did the term bye felicia come from?</x:v>
      </x:c>
      <x:c r="E254" t="str">
        <x:v>old_old</x:v>
      </x:c>
      <x:c r="F254" t="str">
        <x:v>old_new</x:v>
      </x:c>
      <x:c r="G254" s="34" t="n">
        <x:v>1</x:v>
      </x:c>
      <x:c r="H254" s="34" t="n">
        <x:v>1</x:v>
      </x:c>
      <x:c r="I254" s="34" t="n">
        <x:v>0</x:v>
      </x:c>
      <x:c r="J254" t="str">
        <x:v>unchanged</x:v>
      </x:c>
      <x:c r="K254" t="n">
        <x:v>2</x:v>
      </x:c>
      <x:c r="L254" t="n">
        <x:v>2</x:v>
      </x:c>
      <x:c r="M254" t="n">
        <x:v>2</x:v>
      </x:c>
      <x:c r="N254" t="n">
        <x:v>2</x:v>
      </x:c>
    </x:row>
    <x:row r="255">
      <x:c r="A255" t="str">
        <x:v>a2_new_minus_old_on_old_a1</x:v>
      </x:c>
      <x:c r="B255" t="str">
        <x:v>self_contained</x:v>
      </x:c>
      <x:c r="C255" t="str">
        <x:f>"qid:-7824075627194227170"</x:f>
        <x:v>qid:-7824075627194227170</x:v>
      </x:c>
      <x:c r="D255" s="14" t="str">
        <x:v>When was the commission fir sc/st established?</x:v>
      </x:c>
      <x:c r="E255" t="str">
        <x:v>old_old</x:v>
      </x:c>
      <x:c r="F255" t="str">
        <x:v>old_new</x:v>
      </x:c>
      <x:c r="G255" s="34" t="n">
        <x:v>0.6666666666666666</x:v>
      </x:c>
      <x:c r="H255" s="34" t="n">
        <x:v>0.6666666666666666</x:v>
      </x:c>
      <x:c r="I255" s="34" t="n">
        <x:v>0</x:v>
      </x:c>
      <x:c r="J255" t="str">
        <x:v>unchanged</x:v>
      </x:c>
      <x:c r="K255" t="n">
        <x:v>2</x:v>
      </x:c>
      <x:c r="L255" t="n">
        <x:v>3</x:v>
      </x:c>
      <x:c r="M255" t="n">
        <x:v>2</x:v>
      </x:c>
      <x:c r="N255" t="n">
        <x:v>3</x:v>
      </x:c>
    </x:row>
    <x:row r="256">
      <x:c r="A256" t="str">
        <x:v>a2_new_minus_old_on_old_a1</x:v>
      </x:c>
      <x:c r="B256" t="str">
        <x:v>self_contained</x:v>
      </x:c>
      <x:c r="C256" t="str">
        <x:f>"qid:-8286966211355378010"</x:f>
        <x:v>qid:-8286966211355378010</x:v>
      </x:c>
      <x:c r="D256" s="14" t="str">
        <x:v>What is the objective of tour de france?</x:v>
      </x:c>
      <x:c r="E256" t="str">
        <x:v>old_old</x:v>
      </x:c>
      <x:c r="F256" t="str">
        <x:v>old_new</x:v>
      </x:c>
      <x:c r="G256" s="34" t="n">
        <x:v>0.75</x:v>
      </x:c>
      <x:c r="H256" s="34" t="n">
        <x:v>0.75</x:v>
      </x:c>
      <x:c r="I256" s="34" t="n">
        <x:v>0</x:v>
      </x:c>
      <x:c r="J256" t="str">
        <x:v>unchanged</x:v>
      </x:c>
      <x:c r="K256" t="n">
        <x:v>3</x:v>
      </x:c>
      <x:c r="L256" t="n">
        <x:v>4</x:v>
      </x:c>
      <x:c r="M256" t="n">
        <x:v>3</x:v>
      </x:c>
      <x:c r="N256" t="n">
        <x:v>4</x:v>
      </x:c>
    </x:row>
    <x:row r="257">
      <x:c r="A257" t="str">
        <x:v>a2_new_minus_old_on_old_a1</x:v>
      </x:c>
      <x:c r="B257" t="str">
        <x:v>self_contained</x:v>
      </x:c>
      <x:c r="C257" t="str">
        <x:f>"qid:-9141149438582194391"</x:f>
        <x:v>qid:-9141149438582194391</x:v>
      </x:c>
      <x:c r="D257" s="14" t="str">
        <x:v>Who has scored the highest number of runs in test cricket?</x:v>
      </x:c>
      <x:c r="E257" t="str">
        <x:v>old_old</x:v>
      </x:c>
      <x:c r="F257" t="str">
        <x:v>old_new</x:v>
      </x:c>
      <x:c r="G257" s="34" t="n">
        <x:v>0.3333333333333333</x:v>
      </x:c>
      <x:c r="H257" s="34" t="n">
        <x:v>0</x:v>
      </x:c>
      <x:c r="I257" s="34" t="n">
        <x:v>-0.3333333333333333</x:v>
      </x:c>
      <x:c r="J257" t="str">
        <x:v>regressed</x:v>
      </x:c>
      <x:c r="K257" t="n">
        <x:v>1</x:v>
      </x:c>
      <x:c r="L257" t="n">
        <x:v>3</x:v>
      </x:c>
      <x:c r="M257" t="n">
        <x:v>0</x:v>
      </x:c>
      <x:c r="N257" t="n">
        <x:v>3</x:v>
      </x:c>
    </x:row>
    <x:row r="258">
      <x:c r="A258" t="str">
        <x:v>a2_new_minus_old_on_old_a1</x:v>
      </x:c>
      <x:c r="B258" t="str">
        <x:v>self_contained</x:v>
      </x:c>
      <x:c r="C258" t="str">
        <x:f>"qid:-99543908387769967"</x:f>
        <x:v>qid:-99543908387769967</x:v>
      </x:c>
      <x:c r="D258" s="14" t="str">
        <x:v>Who does sansa marry on game of thrones?</x:v>
      </x:c>
      <x:c r="E258" t="str">
        <x:v>old_old</x:v>
      </x:c>
      <x:c r="F258" t="str">
        <x:v>old_new</x:v>
      </x:c>
      <x:c r="G258" s="34" t="n">
        <x:v>1</x:v>
      </x:c>
      <x:c r="H258" s="34" t="n">
        <x:v>1</x:v>
      </x:c>
      <x:c r="I258" s="34" t="n">
        <x:v>0</x:v>
      </x:c>
      <x:c r="J258" t="str">
        <x:v>unchanged</x:v>
      </x:c>
      <x:c r="K258" t="n">
        <x:v>2</x:v>
      </x:c>
      <x:c r="L258" t="n">
        <x:v>2</x:v>
      </x:c>
      <x:c r="M258" t="n">
        <x:v>3</x:v>
      </x:c>
      <x:c r="N258" t="n">
        <x:v>3</x:v>
      </x:c>
    </x:row>
    <x:row r="259">
      <x:c r="A259" t="str">
        <x:v>a2_new_minus_old_on_old_a1</x:v>
      </x:c>
      <x:c r="B259" t="str">
        <x:v>self_contained</x:v>
      </x:c>
      <x:c r="C259" t="str">
        <x:f>"qid:16881061444712536"</x:f>
        <x:v>qid:16881061444712536</x:v>
      </x:c>
      <x:c r="D259" s="14" t="str">
        <x:v>Where does the amazon river start and finish?</x:v>
      </x:c>
      <x:c r="E259" t="str">
        <x:v>old_old</x:v>
      </x:c>
      <x:c r="F259" t="str">
        <x:v>old_new</x:v>
      </x:c>
      <x:c r="G259" s="34" t="n">
        <x:v>1</x:v>
      </x:c>
      <x:c r="H259" s="34" t="n">
        <x:v>1</x:v>
      </x:c>
      <x:c r="I259" s="34" t="n">
        <x:v>0</x:v>
      </x:c>
      <x:c r="J259" t="str">
        <x:v>unchanged</x:v>
      </x:c>
      <x:c r="K259" t="n">
        <x:v>2</x:v>
      </x:c>
      <x:c r="L259" t="n">
        <x:v>2</x:v>
      </x:c>
      <x:c r="M259" t="n">
        <x:v>2</x:v>
      </x:c>
      <x:c r="N259" t="n">
        <x:v>2</x:v>
      </x:c>
    </x:row>
    <x:row r="260">
      <x:c r="A260" t="str">
        <x:v>a2_new_minus_old_on_old_a1</x:v>
      </x:c>
      <x:c r="B260" t="str">
        <x:v>self_contained</x:v>
      </x:c>
      <x:c r="C260" t="str">
        <x:f>"qid:1763163294931046731"</x:f>
        <x:v>qid:1763163294931046731</x:v>
      </x:c>
      <x:c r="D260" s="14" t="str">
        <x:v>Who played violet rutherford on leave it to beaver?</x:v>
      </x:c>
      <x:c r="E260" t="str">
        <x:v>old_old</x:v>
      </x:c>
      <x:c r="F260" t="str">
        <x:v>old_new</x:v>
      </x:c>
      <x:c r="G260" s="34" t="n">
        <x:v>1</x:v>
      </x:c>
      <x:c r="H260" s="34" t="n">
        <x:v>1</x:v>
      </x:c>
      <x:c r="I260" s="34" t="n">
        <x:v>0</x:v>
      </x:c>
      <x:c r="J260" t="str">
        <x:v>unchanged</x:v>
      </x:c>
      <x:c r="K260" t="n">
        <x:v>1</x:v>
      </x:c>
      <x:c r="L260" t="n">
        <x:v>1</x:v>
      </x:c>
      <x:c r="M260" t="n">
        <x:v>1</x:v>
      </x:c>
      <x:c r="N260" t="n">
        <x:v>1</x:v>
      </x:c>
    </x:row>
    <x:row r="261">
      <x:c r="A261" t="str">
        <x:v>a2_new_minus_old_on_old_a1</x:v>
      </x:c>
      <x:c r="B261" t="str">
        <x:v>self_contained</x:v>
      </x:c>
      <x:c r="C261" t="str">
        <x:f>"qid:2221044921312683785"</x:f>
        <x:v>qid:2221044921312683785</x:v>
      </x:c>
      <x:c r="D261" s="14" t="str">
        <x:v>When did the apple tv 4k come out?</x:v>
      </x:c>
      <x:c r="E261" t="str">
        <x:v>old_old</x:v>
      </x:c>
      <x:c r="F261" t="str">
        <x:v>old_new</x:v>
      </x:c>
      <x:c r="G261" s="34" t="n">
        <x:v>1</x:v>
      </x:c>
      <x:c r="H261" s="34" t="n">
        <x:v>1</x:v>
      </x:c>
      <x:c r="I261" s="34" t="n">
        <x:v>0</x:v>
      </x:c>
      <x:c r="J261" t="str">
        <x:v>unchanged</x:v>
      </x:c>
      <x:c r="K261" t="n">
        <x:v>1</x:v>
      </x:c>
      <x:c r="L261" t="n">
        <x:v>1</x:v>
      </x:c>
      <x:c r="M261" t="n">
        <x:v>1</x:v>
      </x:c>
      <x:c r="N261" t="n">
        <x:v>1</x:v>
      </x:c>
    </x:row>
    <x:row r="262">
      <x:c r="A262" t="str">
        <x:v>a2_new_minus_old_on_old_a1</x:v>
      </x:c>
      <x:c r="B262" t="str">
        <x:v>self_contained</x:v>
      </x:c>
      <x:c r="C262" t="str">
        <x:f>"qid:2469112227919120438"</x:f>
        <x:v>qid:2469112227919120438</x:v>
      </x:c>
      <x:c r="D262" s="14" t="str">
        <x:v>The creation of the senate was based on the?</x:v>
      </x:c>
      <x:c r="E262" t="str">
        <x:v>old_old</x:v>
      </x:c>
      <x:c r="F262" t="str">
        <x:v>old_new</x:v>
      </x:c>
      <x:c r="G262" s="34" t="n">
        <x:v>1</x:v>
      </x:c>
      <x:c r="H262" s="34" t="n">
        <x:v>1</x:v>
      </x:c>
      <x:c r="I262" s="34" t="n">
        <x:v>0</x:v>
      </x:c>
      <x:c r="J262" t="str">
        <x:v>unchanged</x:v>
      </x:c>
      <x:c r="K262" t="n">
        <x:v>5</x:v>
      </x:c>
      <x:c r="L262" t="n">
        <x:v>5</x:v>
      </x:c>
      <x:c r="M262" t="n">
        <x:v>5</x:v>
      </x:c>
      <x:c r="N262" t="n">
        <x:v>5</x:v>
      </x:c>
    </x:row>
    <x:row r="263">
      <x:c r="A263" t="str">
        <x:v>a2_new_minus_old_on_old_a1</x:v>
      </x:c>
      <x:c r="B263" t="str">
        <x:v>self_contained</x:v>
      </x:c>
      <x:c r="C263" t="str">
        <x:f>"qid:3605104154738105404"</x:f>
        <x:v>qid:3605104154738105404</x:v>
      </x:c>
      <x:c r="D263" s="14" t="str">
        <x:v>What episode does jason gideon die in criminal minds?</x:v>
      </x:c>
      <x:c r="E263" t="str">
        <x:v>old_old</x:v>
      </x:c>
      <x:c r="F263" t="str">
        <x:v>old_new</x:v>
      </x:c>
      <x:c r="G263" s="34" t="n">
        <x:v>1</x:v>
      </x:c>
      <x:c r="H263" s="34" t="n">
        <x:v>1</x:v>
      </x:c>
      <x:c r="I263" s="34" t="n">
        <x:v>0</x:v>
      </x:c>
      <x:c r="J263" t="str">
        <x:v>unchanged</x:v>
      </x:c>
      <x:c r="K263" t="n">
        <x:v>1</x:v>
      </x:c>
      <x:c r="L263" t="n">
        <x:v>1</x:v>
      </x:c>
      <x:c r="M263" t="n">
        <x:v>1</x:v>
      </x:c>
      <x:c r="N263" t="n">
        <x:v>1</x:v>
      </x:c>
    </x:row>
    <x:row r="264">
      <x:c r="A264" t="str">
        <x:v>a2_new_minus_old_on_old_a1</x:v>
      </x:c>
      <x:c r="B264" t="str">
        <x:v>self_contained</x:v>
      </x:c>
      <x:c r="C264" t="str">
        <x:f>"qid:4150448921344430432"</x:f>
        <x:v>qid:4150448921344430432</x:v>
      </x:c>
      <x:c r="D264" s="14" t="str">
        <x:v>Who were the original twins in everybody loves raymond?</x:v>
      </x:c>
      <x:c r="E264" t="str">
        <x:v>old_old</x:v>
      </x:c>
      <x:c r="F264" t="str">
        <x:v>old_new</x:v>
      </x:c>
      <x:c r="G264" s="34" t="n">
        <x:v>1</x:v>
      </x:c>
      <x:c r="H264" s="34" t="n">
        <x:v>1</x:v>
      </x:c>
      <x:c r="I264" s="34" t="n">
        <x:v>0</x:v>
      </x:c>
      <x:c r="J264" t="str">
        <x:v>unchanged</x:v>
      </x:c>
      <x:c r="K264" t="n">
        <x:v>2</x:v>
      </x:c>
      <x:c r="L264" t="n">
        <x:v>2</x:v>
      </x:c>
      <x:c r="M264" t="n">
        <x:v>2</x:v>
      </x:c>
      <x:c r="N264" t="n">
        <x:v>2</x:v>
      </x:c>
    </x:row>
    <x:row r="265">
      <x:c r="A265" t="str">
        <x:v>a2_new_minus_old_on_old_a1</x:v>
      </x:c>
      <x:c r="B265" t="str">
        <x:v>self_contained</x:v>
      </x:c>
      <x:c r="C265" t="str">
        <x:f>"qid:4183252176965080529"</x:f>
        <x:v>qid:4183252176965080529</x:v>
      </x:c>
      <x:c r="D265" s="14" t="str">
        <x:v>When does the new independence day come out?</x:v>
      </x:c>
      <x:c r="E265" t="str">
        <x:v>old_old</x:v>
      </x:c>
      <x:c r="F265" t="str">
        <x:v>old_new</x:v>
      </x:c>
      <x:c r="G265" s="34" t="n">
        <x:v>0.6666666666666666</x:v>
      </x:c>
      <x:c r="H265" s="34" t="n">
        <x:v>0.6666666666666666</x:v>
      </x:c>
      <x:c r="I265" s="34" t="n">
        <x:v>0</x:v>
      </x:c>
      <x:c r="J265" t="str">
        <x:v>unchanged</x:v>
      </x:c>
      <x:c r="K265" t="n">
        <x:v>2</x:v>
      </x:c>
      <x:c r="L265" t="n">
        <x:v>3</x:v>
      </x:c>
      <x:c r="M265" t="n">
        <x:v>2</x:v>
      </x:c>
      <x:c r="N265" t="n">
        <x:v>3</x:v>
      </x:c>
    </x:row>
    <x:row r="266">
      <x:c r="A266" t="str">
        <x:v>a2_new_minus_old_on_old_a1</x:v>
      </x:c>
      <x:c r="B266" t="str">
        <x:v>self_contained</x:v>
      </x:c>
      <x:c r="C266" t="str">
        <x:f>"qid:4474597907223412132"</x:f>
        <x:v>qid:4474597907223412132</x:v>
      </x:c>
      <x:c r="D266" s="14" t="str">
        <x:v>Who were the two astronauts who stayed a year on the iss?</x:v>
      </x:c>
      <x:c r="E266" t="str">
        <x:v>old_old</x:v>
      </x:c>
      <x:c r="F266" t="str">
        <x:v>old_new</x:v>
      </x:c>
      <x:c r="G266" s="34" t="n">
        <x:v>1</x:v>
      </x:c>
      <x:c r="H266" s="34" t="n">
        <x:v>1</x:v>
      </x:c>
      <x:c r="I266" s="34" t="n">
        <x:v>0</x:v>
      </x:c>
      <x:c r="J266" t="str">
        <x:v>unchanged</x:v>
      </x:c>
      <x:c r="K266" t="n">
        <x:v>1</x:v>
      </x:c>
      <x:c r="L266" t="n">
        <x:v>1</x:v>
      </x:c>
      <x:c r="M266" t="n">
        <x:v>2</x:v>
      </x:c>
      <x:c r="N266" t="n">
        <x:v>2</x:v>
      </x:c>
    </x:row>
    <x:row r="267">
      <x:c r="A267" t="str">
        <x:v>a2_new_minus_old_on_old_a1</x:v>
      </x:c>
      <x:c r="B267" t="str">
        <x:v>self_contained</x:v>
      </x:c>
      <x:c r="C267" t="str">
        <x:f>"qid:586233275728240023"</x:f>
        <x:v>qid:586233275728240023</x:v>
      </x:c>
      <x:c r="D267" s="14" t="str">
        <x:v>What is the os of samsung smart tv?</x:v>
      </x:c>
      <x:c r="E267" t="str">
        <x:v>old_old</x:v>
      </x:c>
      <x:c r="F267" t="str">
        <x:v>old_new</x:v>
      </x:c>
      <x:c r="G267" s="34" t="n">
        <x:v>1</x:v>
      </x:c>
      <x:c r="H267" s="34" t="n">
        <x:v>1</x:v>
      </x:c>
      <x:c r="I267" s="34" t="n">
        <x:v>0</x:v>
      </x:c>
      <x:c r="J267" t="str">
        <x:v>unchanged</x:v>
      </x:c>
      <x:c r="K267" t="n">
        <x:v>1</x:v>
      </x:c>
      <x:c r="L267" t="n">
        <x:v>1</x:v>
      </x:c>
      <x:c r="M267" t="n">
        <x:v>1</x:v>
      </x:c>
      <x:c r="N267" t="n">
        <x:v>1</x:v>
      </x:c>
    </x:row>
    <x:row r="268">
      <x:c r="A268" t="str">
        <x:v>a2_new_minus_old_on_old_a1</x:v>
      </x:c>
      <x:c r="B268" t="str">
        <x:v>self_contained</x:v>
      </x:c>
      <x:c r="C268" t="str">
        <x:f>"qid:6257465985316109835"</x:f>
        <x:v>qid:6257465985316109835</x:v>
      </x:c>
      <x:c r="D268" s="14" t="str">
        <x:v>Who is the main character in liv and maddie?</x:v>
      </x:c>
      <x:c r="E268" t="str">
        <x:v>old_old</x:v>
      </x:c>
      <x:c r="F268" t="str">
        <x:v>old_new</x:v>
      </x:c>
      <x:c r="G268" s="34" t="n">
        <x:v>1</x:v>
      </x:c>
      <x:c r="H268" s="34" t="n">
        <x:v>1</x:v>
      </x:c>
      <x:c r="I268" s="34" t="n">
        <x:v>0</x:v>
      </x:c>
      <x:c r="J268" t="str">
        <x:v>unchanged</x:v>
      </x:c>
      <x:c r="K268" t="n">
        <x:v>1</x:v>
      </x:c>
      <x:c r="L268" t="n">
        <x:v>1</x:v>
      </x:c>
      <x:c r="M268" t="n">
        <x:v>1</x:v>
      </x:c>
      <x:c r="N268" t="n">
        <x:v>1</x:v>
      </x:c>
    </x:row>
    <x:row r="269">
      <x:c r="A269" t="str">
        <x:v>a2_new_minus_old_on_old_a1</x:v>
      </x:c>
      <x:c r="B269" t="str">
        <x:v>self_contained</x:v>
      </x:c>
      <x:c r="C269" t="str">
        <x:f>"qid:6514531923811923780"</x:f>
        <x:v>qid:6514531923811923780</x:v>
      </x:c>
      <x:c r="D269" s="14" t="str">
        <x:v>When does disney's food and wine festival end?</x:v>
      </x:c>
      <x:c r="E269" t="str">
        <x:v>old_old</x:v>
      </x:c>
      <x:c r="F269" t="str">
        <x:v>old_new</x:v>
      </x:c>
      <x:c r="G269" s="34" t="n">
        <x:v>1</x:v>
      </x:c>
      <x:c r="H269" s="34" t="n">
        <x:v>1</x:v>
      </x:c>
      <x:c r="I269" s="34" t="n">
        <x:v>0</x:v>
      </x:c>
      <x:c r="J269" t="str">
        <x:v>unchanged</x:v>
      </x:c>
      <x:c r="K269" t="n">
        <x:v>1</x:v>
      </x:c>
      <x:c r="L269" t="n">
        <x:v>1</x:v>
      </x:c>
      <x:c r="M269" t="n">
        <x:v>2</x:v>
      </x:c>
      <x:c r="N269" t="n">
        <x:v>2</x:v>
      </x:c>
    </x:row>
    <x:row r="270">
      <x:c r="A270" t="str">
        <x:v>a2_new_minus_old_on_old_a1</x:v>
      </x:c>
      <x:c r="B270" t="str">
        <x:v>self_contained</x:v>
      </x:c>
      <x:c r="C270" t="str">
        <x:f>"qid:6776234528515962047"</x:f>
        <x:v>qid:6776234528515962047</x:v>
      </x:c>
      <x:c r="D270" s="14" t="str">
        <x:v>Who is the most run in cricket history?</x:v>
      </x:c>
      <x:c r="E270" t="str">
        <x:v>old_old</x:v>
      </x:c>
      <x:c r="F270" t="str">
        <x:v>old_new</x:v>
      </x:c>
      <x:c r="G270" s="34" t="n">
        <x:v>0</x:v>
      </x:c>
      <x:c r="H270" s="34" t="n">
        <x:v>1</x:v>
      </x:c>
      <x:c r="I270" s="34" t="n">
        <x:v>1</x:v>
      </x:c>
      <x:c r="J270" t="str">
        <x:v>improved</x:v>
      </x:c>
      <x:c r="K270" t="n">
        <x:v>0</x:v>
      </x:c>
      <x:c r="L270" t="n">
        <x:v>2</x:v>
      </x:c>
      <x:c r="M270" t="n">
        <x:v>2</x:v>
      </x:c>
      <x:c r="N270" t="n">
        <x:v>2</x:v>
      </x:c>
    </x:row>
    <x:row r="271">
      <x:c r="A271" t="str">
        <x:v>a2_new_minus_old_on_old_a1</x:v>
      </x:c>
      <x:c r="B271" t="str">
        <x:v>self_contained</x:v>
      </x:c>
      <x:c r="C271" t="str">
        <x:f>"qid:6962706727076805207"</x:f>
        <x:v>qid:6962706727076805207</x:v>
      </x:c>
      <x:c r="D271" s="14" t="str">
        <x:v>What kind of car in to catch a thief?</x:v>
      </x:c>
      <x:c r="E271" t="str">
        <x:v>old_old</x:v>
      </x:c>
      <x:c r="F271" t="str">
        <x:v>old_new</x:v>
      </x:c>
      <x:c r="G271" s="34" t="n">
        <x:v>1</x:v>
      </x:c>
      <x:c r="H271" s="34" t="n">
        <x:v>0.6666666666666666</x:v>
      </x:c>
      <x:c r="I271" s="34" t="n">
        <x:v>-0.33333333333333337</x:v>
      </x:c>
      <x:c r="J271" t="str">
        <x:v>regressed</x:v>
      </x:c>
      <x:c r="K271" t="n">
        <x:v>3</x:v>
      </x:c>
      <x:c r="L271" t="n">
        <x:v>3</x:v>
      </x:c>
      <x:c r="M271" t="n">
        <x:v>2</x:v>
      </x:c>
      <x:c r="N271" t="n">
        <x:v>3</x:v>
      </x:c>
    </x:row>
    <x:row r="272">
      <x:c r="A272" t="str">
        <x:v>a2_new_minus_old_on_old_a1</x:v>
      </x:c>
      <x:c r="B272" t="str">
        <x:v>self_contained</x:v>
      </x:c>
      <x:c r="C272" t="str">
        <x:f>"qid:7150599999316106461"</x:f>
        <x:v>qid:7150599999316106461</x:v>
      </x:c>
      <x:c r="D272" s="14" t="str">
        <x:v>Who was the first singing brothers in the hall of fame?</x:v>
      </x:c>
      <x:c r="E272" t="str">
        <x:v>old_old</x:v>
      </x:c>
      <x:c r="F272" t="str">
        <x:v>old_new</x:v>
      </x:c>
      <x:c r="G272" s="34" t="n">
        <x:v>1</x:v>
      </x:c>
      <x:c r="H272" s="34" t="n">
        <x:v>1</x:v>
      </x:c>
      <x:c r="I272" s="34" t="n">
        <x:v>0</x:v>
      </x:c>
      <x:c r="J272" t="str">
        <x:v>unchanged</x:v>
      </x:c>
      <x:c r="K272" t="n">
        <x:v>2</x:v>
      </x:c>
      <x:c r="L272" t="n">
        <x:v>2</x:v>
      </x:c>
      <x:c r="M272" t="n">
        <x:v>2</x:v>
      </x:c>
      <x:c r="N272" t="n">
        <x:v>2</x:v>
      </x:c>
    </x:row>
    <x:row r="273">
      <x:c r="A273" t="str">
        <x:v>a2_new_minus_old_on_old_a1</x:v>
      </x:c>
      <x:c r="B273" t="str">
        <x:v>self_contained</x:v>
      </x:c>
      <x:c r="C273" t="str">
        <x:f>"qid:732619765350082410"</x:f>
        <x:v>qid:732619765350082410</x:v>
      </x:c>
      <x:c r="D273" s="14" t="str">
        <x:v>When did toronto host the mlb all-star game?</x:v>
      </x:c>
      <x:c r="E273" t="str">
        <x:v>old_old</x:v>
      </x:c>
      <x:c r="F273" t="str">
        <x:v>old_new</x:v>
      </x:c>
      <x:c r="G273" s="34" t="n">
        <x:v>1</x:v>
      </x:c>
      <x:c r="H273" s="34" t="n">
        <x:v>1</x:v>
      </x:c>
      <x:c r="I273" s="34" t="n">
        <x:v>0</x:v>
      </x:c>
      <x:c r="J273" t="str">
        <x:v>unchanged</x:v>
      </x:c>
      <x:c r="K273" t="n">
        <x:v>1</x:v>
      </x:c>
      <x:c r="L273" t="n">
        <x:v>1</x:v>
      </x:c>
      <x:c r="M273" t="n">
        <x:v>1</x:v>
      </x:c>
      <x:c r="N273" t="n">
        <x:v>1</x:v>
      </x:c>
    </x:row>
    <x:row r="274">
      <x:c r="A274" t="str">
        <x:v>a2_new_minus_old_on_old_a1</x:v>
      </x:c>
      <x:c r="B274" t="str">
        <x:v>self_contained</x:v>
      </x:c>
      <x:c r="C274" t="str">
        <x:f>"qid:743600309736467122"</x:f>
        <x:v>qid:743600309736467122</x:v>
      </x:c>
      <x:c r="D274" s="14" t="str">
        <x:v>When was on the revolutions of the heavenly spheres published?</x:v>
      </x:c>
      <x:c r="E274" t="str">
        <x:v>old_old</x:v>
      </x:c>
      <x:c r="F274" t="str">
        <x:v>old_new</x:v>
      </x:c>
      <x:c r="G274" s="34" t="n">
        <x:v>0.5</x:v>
      </x:c>
      <x:c r="H274" s="34" t="n">
        <x:v>0.5</x:v>
      </x:c>
      <x:c r="I274" s="34" t="n">
        <x:v>0</x:v>
      </x:c>
      <x:c r="J274" t="str">
        <x:v>unchanged</x:v>
      </x:c>
      <x:c r="K274" t="n">
        <x:v>1</x:v>
      </x:c>
      <x:c r="L274" t="n">
        <x:v>2</x:v>
      </x:c>
      <x:c r="M274" t="n">
        <x:v>1</x:v>
      </x:c>
      <x:c r="N274" t="n">
        <x:v>2</x:v>
      </x:c>
    </x:row>
    <x:row r="275">
      <x:c r="A275" t="str">
        <x:v>a2_new_minus_old_on_old_a1</x:v>
      </x:c>
      <x:c r="B275" t="str">
        <x:v>self_contained</x:v>
      </x:c>
      <x:c r="C275" t="str">
        <x:f>"qid:7797208395147217894"</x:f>
        <x:v>qid:7797208395147217894</x:v>
      </x:c>
      <x:c r="D275" s="14" t="str">
        <x:v>When did west germany win the world cup?</x:v>
      </x:c>
      <x:c r="E275" t="str">
        <x:v>old_old</x:v>
      </x:c>
      <x:c r="F275" t="str">
        <x:v>old_new</x:v>
      </x:c>
      <x:c r="G275" s="34" t="n">
        <x:v>1</x:v>
      </x:c>
      <x:c r="H275" s="34" t="n">
        <x:v>1</x:v>
      </x:c>
      <x:c r="I275" s="34" t="n">
        <x:v>0</x:v>
      </x:c>
      <x:c r="J275" t="str">
        <x:v>unchanged</x:v>
      </x:c>
      <x:c r="K275" t="n">
        <x:v>4</x:v>
      </x:c>
      <x:c r="L275" t="n">
        <x:v>4</x:v>
      </x:c>
      <x:c r="M275" t="n">
        <x:v>4</x:v>
      </x:c>
      <x:c r="N275" t="n">
        <x:v>4</x:v>
      </x:c>
    </x:row>
    <x:row r="276">
      <x:c r="A276" t="str">
        <x:v>a2_new_minus_old_on_old_a1</x:v>
      </x:c>
      <x:c r="B276" t="str">
        <x:v>self_contained</x:v>
      </x:c>
      <x:c r="C276" t="str">
        <x:f>"qid:8433533625736230886"</x:f>
        <x:v>qid:8433533625736230886</x:v>
      </x:c>
      <x:c r="D276" s="14" t="str">
        <x:v>Who has won the most trophies man utd or liverpool?</x:v>
      </x:c>
      <x:c r="E276" t="str">
        <x:v>old_old</x:v>
      </x:c>
      <x:c r="F276" t="str">
        <x:v>old_new</x:v>
      </x:c>
      <x:c r="G276" s="34" t="n">
        <x:v>1</x:v>
      </x:c>
      <x:c r="H276" s="34" t="n">
        <x:v>1</x:v>
      </x:c>
      <x:c r="I276" s="34" t="n">
        <x:v>0</x:v>
      </x:c>
      <x:c r="J276" t="str">
        <x:v>unchanged</x:v>
      </x:c>
      <x:c r="K276" t="n">
        <x:v>1</x:v>
      </x:c>
      <x:c r="L276" t="n">
        <x:v>1</x:v>
      </x:c>
      <x:c r="M276" t="n">
        <x:v>1</x:v>
      </x:c>
      <x:c r="N276" t="n">
        <x:v>1</x:v>
      </x:c>
    </x:row>
    <x:row r="277">
      <x:c r="A277" t="str">
        <x:v>a2_new_minus_old_on_old_a1</x:v>
      </x:c>
      <x:c r="B277" t="str">
        <x:v>self_contained</x:v>
      </x:c>
      <x:c r="C277" t="str">
        <x:f>"qid:8686216144939155905"</x:f>
        <x:v>qid:8686216144939155905</x:v>
      </x:c>
      <x:c r="D277" s="14" t="str">
        <x:v>What is the name of the time zone for london?</x:v>
      </x:c>
      <x:c r="E277" t="str">
        <x:v>old_old</x:v>
      </x:c>
      <x:c r="F277" t="str">
        <x:v>old_new</x:v>
      </x:c>
      <x:c r="G277" s="34" t="n">
        <x:v>1</x:v>
      </x:c>
      <x:c r="H277" s="34" t="n">
        <x:v>1</x:v>
      </x:c>
      <x:c r="I277" s="34" t="n">
        <x:v>0</x:v>
      </x:c>
      <x:c r="J277" t="str">
        <x:v>unchanged</x:v>
      </x:c>
      <x:c r="K277" t="n">
        <x:v>1</x:v>
      </x:c>
      <x:c r="L277" t="n">
        <x:v>1</x:v>
      </x:c>
      <x:c r="M277" t="n">
        <x:v>1</x:v>
      </x:c>
      <x:c r="N277" t="n">
        <x:v>1</x:v>
      </x:c>
    </x:row>
    <x:row r="278">
      <x:c r="A278" t="str">
        <x:v>a2_new_minus_old_on_old_a1</x:v>
      </x:c>
      <x:c r="B278" t="str">
        <x:v>self_contained</x:v>
      </x:c>
      <x:c r="C278" t="str">
        <x:f>"qid:87005427005915954"</x:f>
        <x:v>qid:87005427005915954</x:v>
      </x:c>
      <x:c r="D278" s="14" t="str">
        <x:v>When was the last time galway won the hurling all ireland?</x:v>
      </x:c>
      <x:c r="E278" t="str">
        <x:v>old_old</x:v>
      </x:c>
      <x:c r="F278" t="str">
        <x:v>old_new</x:v>
      </x:c>
      <x:c r="G278" s="34" t="n">
        <x:v>1</x:v>
      </x:c>
      <x:c r="H278" s="34" t="n">
        <x:v>1</x:v>
      </x:c>
      <x:c r="I278" s="34" t="n">
        <x:v>0</x:v>
      </x:c>
      <x:c r="J278" t="str">
        <x:v>unchanged</x:v>
      </x:c>
      <x:c r="K278" t="n">
        <x:v>1</x:v>
      </x:c>
      <x:c r="L278" t="n">
        <x:v>1</x:v>
      </x:c>
      <x:c r="M278" t="n">
        <x:v>1</x:v>
      </x:c>
      <x:c r="N278" t="n">
        <x:v>1</x:v>
      </x:c>
    </x:row>
    <x:row r="279">
      <x:c r="A279" t="str">
        <x:v>a2_new_minus_old_on_old_a1</x:v>
      </x:c>
      <x:c r="B279" t="str">
        <x:v>span_aligned</x:v>
      </x:c>
      <x:c r="C279" t="str">
        <x:f>"qid:-1062522255440685408"</x:f>
        <x:v>qid:-1062522255440685408</x:v>
      </x:c>
      <x:c r="D279" s="14" t="str">
        <x:v>When did the first generation kindle fire come out?</x:v>
      </x:c>
      <x:c r="E279" t="str">
        <x:v>old_old</x:v>
      </x:c>
      <x:c r="F279" t="str">
        <x:v>old_new</x:v>
      </x:c>
      <x:c r="G279" s="34" t="n">
        <x:v>1</x:v>
      </x:c>
      <x:c r="H279" s="34" t="n">
        <x:v>1</x:v>
      </x:c>
      <x:c r="I279" s="34" t="n">
        <x:v>0</x:v>
      </x:c>
      <x:c r="J279" t="str">
        <x:v>unchanged</x:v>
      </x:c>
      <x:c r="K279" t="n">
        <x:v>1</x:v>
      </x:c>
      <x:c r="L279" t="n">
        <x:v>1</x:v>
      </x:c>
      <x:c r="M279" t="n">
        <x:v>1</x:v>
      </x:c>
      <x:c r="N279" t="n">
        <x:v>1</x:v>
      </x:c>
    </x:row>
    <x:row r="280">
      <x:c r="A280" t="str">
        <x:v>a2_new_minus_old_on_old_a1</x:v>
      </x:c>
      <x:c r="B280" t="str">
        <x:v>span_aligned</x:v>
      </x:c>
      <x:c r="C280" t="str">
        <x:f>"qid:-2585133819352441604"</x:f>
        <x:v>qid:-2585133819352441604</x:v>
      </x:c>
      <x:c r="D280" s="14" t="str">
        <x:v>Name of first episode of this is us?</x:v>
      </x:c>
      <x:c r="E280" t="str">
        <x:v>old_old</x:v>
      </x:c>
      <x:c r="F280" t="str">
        <x:v>old_new</x:v>
      </x:c>
      <x:c r="G280" s="34" t="n">
        <x:v>1</x:v>
      </x:c>
      <x:c r="H280" s="34" t="n">
        <x:v>1</x:v>
      </x:c>
      <x:c r="I280" s="34" t="n">
        <x:v>0</x:v>
      </x:c>
      <x:c r="J280" t="str">
        <x:v>unchanged</x:v>
      </x:c>
      <x:c r="K280" t="n">
        <x:v>1</x:v>
      </x:c>
      <x:c r="L280" t="n">
        <x:v>1</x:v>
      </x:c>
      <x:c r="M280" t="n">
        <x:v>1</x:v>
      </x:c>
      <x:c r="N280" t="n">
        <x:v>1</x:v>
      </x:c>
    </x:row>
    <x:row r="281">
      <x:c r="A281" t="str">
        <x:v>a2_new_minus_old_on_old_a1</x:v>
      </x:c>
      <x:c r="B281" t="str">
        <x:v>span_aligned</x:v>
      </x:c>
      <x:c r="C281" t="str">
        <x:f>"qid:-3228483207040151533"</x:f>
        <x:v>qid:-3228483207040151533</x:v>
      </x:c>
      <x:c r="D281" s="14" t="str">
        <x:v>What bodies of water surround cabo san lucas?</x:v>
      </x:c>
      <x:c r="E281" t="str">
        <x:v>old_old</x:v>
      </x:c>
      <x:c r="F281" t="str">
        <x:v>old_new</x:v>
      </x:c>
      <x:c r="G281" s="34" t="n">
        <x:v>1</x:v>
      </x:c>
      <x:c r="H281" s="34" t="n">
        <x:v>1</x:v>
      </x:c>
      <x:c r="I281" s="34" t="n">
        <x:v>0</x:v>
      </x:c>
      <x:c r="J281" t="str">
        <x:v>unchanged</x:v>
      </x:c>
      <x:c r="K281" t="n">
        <x:v>1</x:v>
      </x:c>
      <x:c r="L281" t="n">
        <x:v>1</x:v>
      </x:c>
      <x:c r="M281" t="n">
        <x:v>1</x:v>
      </x:c>
      <x:c r="N281" t="n">
        <x:v>1</x:v>
      </x:c>
    </x:row>
    <x:row r="282">
      <x:c r="A282" t="str">
        <x:v>a2_new_minus_old_on_old_a1</x:v>
      </x:c>
      <x:c r="B282" t="str">
        <x:v>span_aligned</x:v>
      </x:c>
      <x:c r="C282" t="str">
        <x:f>"qid:-3279585462082900736"</x:f>
        <x:v>qid:-3279585462082900736</x:v>
      </x:c>
      <x:c r="D282" s="14" t="str">
        <x:v>Who gets fired on grey's anatomy season 6?</x:v>
      </x:c>
      <x:c r="E282" t="str">
        <x:v>old_old</x:v>
      </x:c>
      <x:c r="F282" t="str">
        <x:v>old_new</x:v>
      </x:c>
      <x:c r="G282" s="34" t="n">
        <x:v>0</x:v>
      </x:c>
      <x:c r="H282" s="34" t="n">
        <x:v>0</x:v>
      </x:c>
      <x:c r="I282" s="34" t="n">
        <x:v>0</x:v>
      </x:c>
      <x:c r="J282" t="str">
        <x:v>unchanged</x:v>
      </x:c>
      <x:c r="K282" t="n">
        <x:v>0</x:v>
      </x:c>
      <x:c r="L282" t="n">
        <x:v>1</x:v>
      </x:c>
      <x:c r="M282" t="n">
        <x:v>0</x:v>
      </x:c>
      <x:c r="N282" t="n">
        <x:v>1</x:v>
      </x:c>
    </x:row>
    <x:row r="283">
      <x:c r="A283" t="str">
        <x:v>a2_new_minus_old_on_old_a1</x:v>
      </x:c>
      <x:c r="B283" t="str">
        <x:v>span_aligned</x:v>
      </x:c>
      <x:c r="C283" t="str">
        <x:f>"qid:-3344541168958463110"</x:f>
        <x:v>qid:-3344541168958463110</x:v>
      </x:c>
      <x:c r="D283" s="14" t="str">
        <x:v>Who fought with an angel in the bible?</x:v>
      </x:c>
      <x:c r="E283" t="str">
        <x:v>old_old</x:v>
      </x:c>
      <x:c r="F283" t="str">
        <x:v>old_new</x:v>
      </x:c>
      <x:c r="G283" s="34" t="n">
        <x:v>0.5</x:v>
      </x:c>
      <x:c r="H283" s="34" t="n">
        <x:v>0.5</x:v>
      </x:c>
      <x:c r="I283" s="34" t="n">
        <x:v>0</x:v>
      </x:c>
      <x:c r="J283" t="str">
        <x:v>unchanged</x:v>
      </x:c>
      <x:c r="K283" t="n">
        <x:v>1</x:v>
      </x:c>
      <x:c r="L283" t="n">
        <x:v>2</x:v>
      </x:c>
      <x:c r="M283" t="n">
        <x:v>1</x:v>
      </x:c>
      <x:c r="N283" t="n">
        <x:v>2</x:v>
      </x:c>
    </x:row>
    <x:row r="284">
      <x:c r="A284" t="str">
        <x:v>a2_new_minus_old_on_old_a1</x:v>
      </x:c>
      <x:c r="B284" t="str">
        <x:v>span_aligned</x:v>
      </x:c>
      <x:c r="C284" t="str">
        <x:f>"qid:-3904805932335139116"</x:f>
        <x:v>qid:-3904805932335139116</x:v>
      </x:c>
      <x:c r="D284" s="14" t="str">
        <x:v>What was the daughter's name on the jetsons?</x:v>
      </x:c>
      <x:c r="E284" t="str">
        <x:v>old_old</x:v>
      </x:c>
      <x:c r="F284" t="str">
        <x:v>old_new</x:v>
      </x:c>
      <x:c r="G284" s="34" t="n">
        <x:v>1</x:v>
      </x:c>
      <x:c r="H284" s="34" t="n">
        <x:v>1</x:v>
      </x:c>
      <x:c r="I284" s="34" t="n">
        <x:v>0</x:v>
      </x:c>
      <x:c r="J284" t="str">
        <x:v>unchanged</x:v>
      </x:c>
      <x:c r="K284" t="n">
        <x:v>1</x:v>
      </x:c>
      <x:c r="L284" t="n">
        <x:v>1</x:v>
      </x:c>
      <x:c r="M284" t="n">
        <x:v>1</x:v>
      </x:c>
      <x:c r="N284" t="n">
        <x:v>1</x:v>
      </x:c>
    </x:row>
    <x:row r="285">
      <x:c r="A285" t="str">
        <x:v>a2_new_minus_old_on_old_a1</x:v>
      </x:c>
      <x:c r="B285" t="str">
        <x:v>span_aligned</x:v>
      </x:c>
      <x:c r="C285" t="str">
        <x:f>"qid:-4286108617234818000"</x:f>
        <x:v>qid:-4286108617234818000</x:v>
      </x:c>
      <x:c r="D285" s="14" t="str">
        <x:v>When does the new super troopers movie come out?</x:v>
      </x:c>
      <x:c r="E285" t="str">
        <x:v>old_old</x:v>
      </x:c>
      <x:c r="F285" t="str">
        <x:v>old_new</x:v>
      </x:c>
      <x:c r="G285" s="34" t="n">
        <x:v>1</x:v>
      </x:c>
      <x:c r="H285" s="34" t="n">
        <x:v>1</x:v>
      </x:c>
      <x:c r="I285" s="34" t="n">
        <x:v>0</x:v>
      </x:c>
      <x:c r="J285" t="str">
        <x:v>unchanged</x:v>
      </x:c>
      <x:c r="K285" t="n">
        <x:v>1</x:v>
      </x:c>
      <x:c r="L285" t="n">
        <x:v>1</x:v>
      </x:c>
      <x:c r="M285" t="n">
        <x:v>1</x:v>
      </x:c>
      <x:c r="N285" t="n">
        <x:v>1</x:v>
      </x:c>
    </x:row>
    <x:row r="286">
      <x:c r="A286" t="str">
        <x:v>a2_new_minus_old_on_old_a1</x:v>
      </x:c>
      <x:c r="B286" t="str">
        <x:v>span_aligned</x:v>
      </x:c>
      <x:c r="C286" t="str">
        <x:f>"qid:-4456614433280196572"</x:f>
        <x:v>qid:-4456614433280196572</x:v>
      </x:c>
      <x:c r="D286" s="14" t="str">
        <x:v>What season does meredith and derek get married in grey's anatomy?</x:v>
      </x:c>
      <x:c r="E286" t="str">
        <x:v>old_old</x:v>
      </x:c>
      <x:c r="F286" t="str">
        <x:v>old_new</x:v>
      </x:c>
      <x:c r="G286" s="34" t="n">
        <x:v>1</x:v>
      </x:c>
      <x:c r="H286" s="34" t="n">
        <x:v>1</x:v>
      </x:c>
      <x:c r="I286" s="34" t="n">
        <x:v>0</x:v>
      </x:c>
      <x:c r="J286" t="str">
        <x:v>unchanged</x:v>
      </x:c>
      <x:c r="K286" t="n">
        <x:v>1</x:v>
      </x:c>
      <x:c r="L286" t="n">
        <x:v>1</x:v>
      </x:c>
      <x:c r="M286" t="n">
        <x:v>1</x:v>
      </x:c>
      <x:c r="N286" t="n">
        <x:v>1</x:v>
      </x:c>
    </x:row>
    <x:row r="287">
      <x:c r="A287" t="str">
        <x:v>a2_new_minus_old_on_old_a1</x:v>
      </x:c>
      <x:c r="B287" t="str">
        <x:v>span_aligned</x:v>
      </x:c>
      <x:c r="C287" t="str">
        <x:f>"qid:-447198893588059167"</x:f>
        <x:v>qid:-447198893588059167</x:v>
      </x:c>
      <x:c r="D287" s="14" t="str">
        <x:v>Who played the father in leave it to beaver?</x:v>
      </x:c>
      <x:c r="E287" t="str">
        <x:v>old_old</x:v>
      </x:c>
      <x:c r="F287" t="str">
        <x:v>old_new</x:v>
      </x:c>
      <x:c r="G287" s="34" t="n">
        <x:v>1</x:v>
      </x:c>
      <x:c r="H287" s="34" t="n">
        <x:v>1</x:v>
      </x:c>
      <x:c r="I287" s="34" t="n">
        <x:v>0</x:v>
      </x:c>
      <x:c r="J287" t="str">
        <x:v>unchanged</x:v>
      </x:c>
      <x:c r="K287" t="n">
        <x:v>1</x:v>
      </x:c>
      <x:c r="L287" t="n">
        <x:v>1</x:v>
      </x:c>
      <x:c r="M287" t="n">
        <x:v>1</x:v>
      </x:c>
      <x:c r="N287" t="n">
        <x:v>1</x:v>
      </x:c>
    </x:row>
    <x:row r="288">
      <x:c r="A288" t="str">
        <x:v>a2_new_minus_old_on_old_a1</x:v>
      </x:c>
      <x:c r="B288" t="str">
        <x:v>span_aligned</x:v>
      </x:c>
      <x:c r="C288" t="str">
        <x:f>"qid:-4649654703638364295"</x:f>
        <x:v>qid:-4649654703638364295</x:v>
      </x:c>
      <x:c r="D288" s="14" t="str">
        <x:v>Who made it through the divisional finals world of dance?</x:v>
      </x:c>
      <x:c r="E288" t="str">
        <x:v>old_old</x:v>
      </x:c>
      <x:c r="F288" t="str">
        <x:v>old_new</x:v>
      </x:c>
      <x:c r="G288" s="34" t="n">
        <x:v>1</x:v>
      </x:c>
      <x:c r="H288" s="34" t="n">
        <x:v>1</x:v>
      </x:c>
      <x:c r="I288" s="34" t="n">
        <x:v>0</x:v>
      </x:c>
      <x:c r="J288" t="str">
        <x:v>unchanged</x:v>
      </x:c>
      <x:c r="K288" t="n">
        <x:v>1</x:v>
      </x:c>
      <x:c r="L288" t="n">
        <x:v>1</x:v>
      </x:c>
      <x:c r="M288" t="n">
        <x:v>1</x:v>
      </x:c>
      <x:c r="N288" t="n">
        <x:v>1</x:v>
      </x:c>
    </x:row>
    <x:row r="289">
      <x:c r="A289" t="str">
        <x:v>a2_new_minus_old_on_old_a1</x:v>
      </x:c>
      <x:c r="B289" t="str">
        <x:v>span_aligned</x:v>
      </x:c>
      <x:c r="C289" t="str">
        <x:f>"qid:-4873786835306543030"</x:f>
        <x:v>qid:-4873786835306543030</x:v>
      </x:c>
      <x:c r="D289" s="14" t="str">
        <x:v>Who is the chief minister of m. p?</x:v>
      </x:c>
      <x:c r="E289" t="str">
        <x:v>old_old</x:v>
      </x:c>
      <x:c r="F289" t="str">
        <x:v>old_new</x:v>
      </x:c>
      <x:c r="G289" s="34" t="n">
        <x:v>1</x:v>
      </x:c>
      <x:c r="H289" s="34" t="n">
        <x:v>1</x:v>
      </x:c>
      <x:c r="I289" s="34" t="n">
        <x:v>0</x:v>
      </x:c>
      <x:c r="J289" t="str">
        <x:v>unchanged</x:v>
      </x:c>
      <x:c r="K289" t="n">
        <x:v>1</x:v>
      </x:c>
      <x:c r="L289" t="n">
        <x:v>1</x:v>
      </x:c>
      <x:c r="M289" t="n">
        <x:v>1</x:v>
      </x:c>
      <x:c r="N289" t="n">
        <x:v>1</x:v>
      </x:c>
    </x:row>
    <x:row r="290">
      <x:c r="A290" t="str">
        <x:v>a2_new_minus_old_on_old_a1</x:v>
      </x:c>
      <x:c r="B290" t="str">
        <x:v>span_aligned</x:v>
      </x:c>
      <x:c r="C290" t="str">
        <x:f>"qid:-4995398567532229571"</x:f>
        <x:v>qid:-4995398567532229571</x:v>
      </x:c>
      <x:c r="D290" s="14" t="str">
        <x:v>When did ragtime flourished in the united states?</x:v>
      </x:c>
      <x:c r="E290" t="str">
        <x:v>old_old</x:v>
      </x:c>
      <x:c r="F290" t="str">
        <x:v>old_new</x:v>
      </x:c>
      <x:c r="G290" s="34" t="n">
        <x:v>1</x:v>
      </x:c>
      <x:c r="H290" s="34" t="n">
        <x:v>1</x:v>
      </x:c>
      <x:c r="I290" s="34" t="n">
        <x:v>0</x:v>
      </x:c>
      <x:c r="J290" t="str">
        <x:v>unchanged</x:v>
      </x:c>
      <x:c r="K290" t="n">
        <x:v>2</x:v>
      </x:c>
      <x:c r="L290" t="n">
        <x:v>2</x:v>
      </x:c>
      <x:c r="M290" t="n">
        <x:v>2</x:v>
      </x:c>
      <x:c r="N290" t="n">
        <x:v>2</x:v>
      </x:c>
    </x:row>
    <x:row r="291">
      <x:c r="A291" t="str">
        <x:v>a2_new_minus_old_on_old_a1</x:v>
      </x:c>
      <x:c r="B291" t="str">
        <x:v>span_aligned</x:v>
      </x:c>
      <x:c r="C291" t="str">
        <x:f>"qid:-5036947181661390825"</x:f>
        <x:v>qid:-5036947181661390825</x:v>
      </x:c>
      <x:c r="D291" s="14" t="str">
        <x:v>When was the vietnam veterans war memorial built?</x:v>
      </x:c>
      <x:c r="E291" t="str">
        <x:v>old_old</x:v>
      </x:c>
      <x:c r="F291" t="str">
        <x:v>old_new</x:v>
      </x:c>
      <x:c r="G291" s="34" t="n">
        <x:v>1</x:v>
      </x:c>
      <x:c r="H291" s="34" t="n">
        <x:v>1</x:v>
      </x:c>
      <x:c r="I291" s="34" t="n">
        <x:v>0</x:v>
      </x:c>
      <x:c r="J291" t="str">
        <x:v>unchanged</x:v>
      </x:c>
      <x:c r="K291" t="n">
        <x:v>1</x:v>
      </x:c>
      <x:c r="L291" t="n">
        <x:v>1</x:v>
      </x:c>
      <x:c r="M291" t="n">
        <x:v>1</x:v>
      </x:c>
      <x:c r="N291" t="n">
        <x:v>1</x:v>
      </x:c>
    </x:row>
    <x:row r="292">
      <x:c r="A292" t="str">
        <x:v>a2_new_minus_old_on_old_a1</x:v>
      </x:c>
      <x:c r="B292" t="str">
        <x:v>span_aligned</x:v>
      </x:c>
      <x:c r="C292" t="str">
        <x:f>"qid:-5116644172939113883"</x:f>
        <x:v>qid:-5116644172939113883</x:v>
      </x:c>
      <x:c r="D292" s="14" t="str">
        <x:v>Who raps in the gorillaz song clint eastwood?</x:v>
      </x:c>
      <x:c r="E292" t="str">
        <x:v>old_old</x:v>
      </x:c>
      <x:c r="F292" t="str">
        <x:v>old_new</x:v>
      </x:c>
      <x:c r="G292" s="34" t="n">
        <x:v>1</x:v>
      </x:c>
      <x:c r="H292" s="34" t="n">
        <x:v>1</x:v>
      </x:c>
      <x:c r="I292" s="34" t="n">
        <x:v>0</x:v>
      </x:c>
      <x:c r="J292" t="str">
        <x:v>unchanged</x:v>
      </x:c>
      <x:c r="K292" t="n">
        <x:v>1</x:v>
      </x:c>
      <x:c r="L292" t="n">
        <x:v>1</x:v>
      </x:c>
      <x:c r="M292" t="n">
        <x:v>1</x:v>
      </x:c>
      <x:c r="N292" t="n">
        <x:v>1</x:v>
      </x:c>
    </x:row>
    <x:row r="293">
      <x:c r="A293" t="str">
        <x:v>a2_new_minus_old_on_old_a1</x:v>
      </x:c>
      <x:c r="B293" t="str">
        <x:v>span_aligned</x:v>
      </x:c>
      <x:c r="C293" t="str">
        <x:f>"qid:-5333049627570569397"</x:f>
        <x:v>qid:-5333049627570569397</x:v>
      </x:c>
      <x:c r="D293" s="14" t="str">
        <x:v>When did the song can't touch this come out?</x:v>
      </x:c>
      <x:c r="E293" t="str">
        <x:v>old_old</x:v>
      </x:c>
      <x:c r="F293" t="str">
        <x:v>old_new</x:v>
      </x:c>
      <x:c r="G293" s="34" t="n">
        <x:v>1</x:v>
      </x:c>
      <x:c r="H293" s="34" t="n">
        <x:v>1</x:v>
      </x:c>
      <x:c r="I293" s="34" t="n">
        <x:v>0</x:v>
      </x:c>
      <x:c r="J293" t="str">
        <x:v>unchanged</x:v>
      </x:c>
      <x:c r="K293" t="n">
        <x:v>1</x:v>
      </x:c>
      <x:c r="L293" t="n">
        <x:v>1</x:v>
      </x:c>
      <x:c r="M293" t="n">
        <x:v>1</x:v>
      </x:c>
      <x:c r="N293" t="n">
        <x:v>1</x:v>
      </x:c>
    </x:row>
    <x:row r="294">
      <x:c r="A294" t="str">
        <x:v>a2_new_minus_old_on_old_a1</x:v>
      </x:c>
      <x:c r="B294" t="str">
        <x:v>span_aligned</x:v>
      </x:c>
      <x:c r="C294" t="str">
        <x:f>"qid:-5564120845047915486"</x:f>
        <x:v>qid:-5564120845047915486</x:v>
      </x:c>
      <x:c r="D294" s="14" t="str">
        <x:v>Where do you find a simple gear train?</x:v>
      </x:c>
      <x:c r="E294" t="str">
        <x:v>old_old</x:v>
      </x:c>
      <x:c r="F294" t="str">
        <x:v>old_new</x:v>
      </x:c>
      <x:c r="G294" s="34" t="n">
        <x:v>0.75</x:v>
      </x:c>
      <x:c r="H294" s="34" t="n">
        <x:v>0.75</x:v>
      </x:c>
      <x:c r="I294" s="34" t="n">
        <x:v>0</x:v>
      </x:c>
      <x:c r="J294" t="str">
        <x:v>unchanged</x:v>
      </x:c>
      <x:c r="K294" t="n">
        <x:v>3</x:v>
      </x:c>
      <x:c r="L294" t="n">
        <x:v>4</x:v>
      </x:c>
      <x:c r="M294" t="n">
        <x:v>3</x:v>
      </x:c>
      <x:c r="N294" t="n">
        <x:v>4</x:v>
      </x:c>
    </x:row>
    <x:row r="295">
      <x:c r="A295" t="str">
        <x:v>a2_new_minus_old_on_old_a1</x:v>
      </x:c>
      <x:c r="B295" t="str">
        <x:v>span_aligned</x:v>
      </x:c>
      <x:c r="C295" t="str">
        <x:f>"qid:-62521546794442829"</x:f>
        <x:v>qid:-62521546794442829</x:v>
      </x:c>
      <x:c r="D295" s="14" t="str">
        <x:v>For whom was the battle of king's mountain a victory?</x:v>
      </x:c>
      <x:c r="E295" t="str">
        <x:v>old_old</x:v>
      </x:c>
      <x:c r="F295" t="str">
        <x:v>old_new</x:v>
      </x:c>
      <x:c r="G295" s="34" t="n">
        <x:v>1</x:v>
      </x:c>
      <x:c r="H295" s="34" t="n">
        <x:v>1</x:v>
      </x:c>
      <x:c r="I295" s="34" t="n">
        <x:v>0</x:v>
      </x:c>
      <x:c r="J295" t="str">
        <x:v>unchanged</x:v>
      </x:c>
      <x:c r="K295" t="n">
        <x:v>1</x:v>
      </x:c>
      <x:c r="L295" t="n">
        <x:v>1</x:v>
      </x:c>
      <x:c r="M295" t="n">
        <x:v>1</x:v>
      </x:c>
      <x:c r="N295" t="n">
        <x:v>1</x:v>
      </x:c>
    </x:row>
    <x:row r="296">
      <x:c r="A296" t="str">
        <x:v>a2_new_minus_old_on_old_a1</x:v>
      </x:c>
      <x:c r="B296" t="str">
        <x:v>span_aligned</x:v>
      </x:c>
      <x:c r="C296" t="str">
        <x:f>"qid:-6702031255040326279"</x:f>
        <x:v>qid:-6702031255040326279</x:v>
      </x:c>
      <x:c r="D296" s="14" t="str">
        <x:v>Which of the animal is a carrier of h1n1?</x:v>
      </x:c>
      <x:c r="E296" t="str">
        <x:v>old_old</x:v>
      </x:c>
      <x:c r="F296" t="str">
        <x:v>old_new</x:v>
      </x:c>
      <x:c r="G296" s="34" t="n">
        <x:v>1</x:v>
      </x:c>
      <x:c r="H296" s="34" t="n">
        <x:v>1</x:v>
      </x:c>
      <x:c r="I296" s="34" t="n">
        <x:v>0</x:v>
      </x:c>
      <x:c r="J296" t="str">
        <x:v>unchanged</x:v>
      </x:c>
      <x:c r="K296" t="n">
        <x:v>2</x:v>
      </x:c>
      <x:c r="L296" t="n">
        <x:v>2</x:v>
      </x:c>
      <x:c r="M296" t="n">
        <x:v>2</x:v>
      </x:c>
      <x:c r="N296" t="n">
        <x:v>2</x:v>
      </x:c>
    </x:row>
    <x:row r="297">
      <x:c r="A297" t="str">
        <x:v>a2_new_minus_old_on_old_a1</x:v>
      </x:c>
      <x:c r="B297" t="str">
        <x:v>span_aligned</x:v>
      </x:c>
      <x:c r="C297" t="str">
        <x:f>"qid:-728189424752983312"</x:f>
        <x:v>qid:-728189424752983312</x:v>
      </x:c>
      <x:c r="D297" s="14" t="str">
        <x:v>Where did the term bye felicia come from?</x:v>
      </x:c>
      <x:c r="E297" t="str">
        <x:v>old_old</x:v>
      </x:c>
      <x:c r="F297" t="str">
        <x:v>old_new</x:v>
      </x:c>
      <x:c r="G297" s="34" t="n">
        <x:v>0.5</x:v>
      </x:c>
      <x:c r="H297" s="34" t="n">
        <x:v>0.5</x:v>
      </x:c>
      <x:c r="I297" s="34" t="n">
        <x:v>0</x:v>
      </x:c>
      <x:c r="J297" t="str">
        <x:v>unchanged</x:v>
      </x:c>
      <x:c r="K297" t="n">
        <x:v>1</x:v>
      </x:c>
      <x:c r="L297" t="n">
        <x:v>2</x:v>
      </x:c>
      <x:c r="M297" t="n">
        <x:v>1</x:v>
      </x:c>
      <x:c r="N297" t="n">
        <x:v>2</x:v>
      </x:c>
    </x:row>
    <x:row r="298">
      <x:c r="A298" t="str">
        <x:v>a2_new_minus_old_on_old_a1</x:v>
      </x:c>
      <x:c r="B298" t="str">
        <x:v>span_aligned</x:v>
      </x:c>
      <x:c r="C298" t="str">
        <x:f>"qid:-7824075627194227170"</x:f>
        <x:v>qid:-7824075627194227170</x:v>
      </x:c>
      <x:c r="D298" s="14" t="str">
        <x:v>When was the commission fir sc/st established?</x:v>
      </x:c>
      <x:c r="E298" t="str">
        <x:v>old_old</x:v>
      </x:c>
      <x:c r="F298" t="str">
        <x:v>old_new</x:v>
      </x:c>
      <x:c r="G298" s="34" t="n">
        <x:v>0.3333333333333333</x:v>
      </x:c>
      <x:c r="H298" s="34" t="n">
        <x:v>0.3333333333333333</x:v>
      </x:c>
      <x:c r="I298" s="34" t="n">
        <x:v>0</x:v>
      </x:c>
      <x:c r="J298" t="str">
        <x:v>unchanged</x:v>
      </x:c>
      <x:c r="K298" t="n">
        <x:v>1</x:v>
      </x:c>
      <x:c r="L298" t="n">
        <x:v>3</x:v>
      </x:c>
      <x:c r="M298" t="n">
        <x:v>1</x:v>
      </x:c>
      <x:c r="N298" t="n">
        <x:v>3</x:v>
      </x:c>
    </x:row>
    <x:row r="299">
      <x:c r="A299" t="str">
        <x:v>a2_new_minus_old_on_old_a1</x:v>
      </x:c>
      <x:c r="B299" t="str">
        <x:v>span_aligned</x:v>
      </x:c>
      <x:c r="C299" t="str">
        <x:f>"qid:-8286966211355378010"</x:f>
        <x:v>qid:-8286966211355378010</x:v>
      </x:c>
      <x:c r="D299" s="14" t="str">
        <x:v>What is the objective of tour de france?</x:v>
      </x:c>
      <x:c r="E299" t="str">
        <x:v>old_old</x:v>
      </x:c>
      <x:c r="F299" t="str">
        <x:v>old_new</x:v>
      </x:c>
      <x:c r="G299" s="34" t="n">
        <x:v>0.5</x:v>
      </x:c>
      <x:c r="H299" s="34" t="n">
        <x:v>0.5</x:v>
      </x:c>
      <x:c r="I299" s="34" t="n">
        <x:v>0</x:v>
      </x:c>
      <x:c r="J299" t="str">
        <x:v>unchanged</x:v>
      </x:c>
      <x:c r="K299" t="n">
        <x:v>2</x:v>
      </x:c>
      <x:c r="L299" t="n">
        <x:v>4</x:v>
      </x:c>
      <x:c r="M299" t="n">
        <x:v>2</x:v>
      </x:c>
      <x:c r="N299" t="n">
        <x:v>4</x:v>
      </x:c>
    </x:row>
    <x:row r="300">
      <x:c r="A300" t="str">
        <x:v>a2_new_minus_old_on_old_a1</x:v>
      </x:c>
      <x:c r="B300" t="str">
        <x:v>span_aligned</x:v>
      </x:c>
      <x:c r="C300" t="str">
        <x:f>"qid:-9141149438582194391"</x:f>
        <x:v>qid:-9141149438582194391</x:v>
      </x:c>
      <x:c r="D300" s="14" t="str">
        <x:v>Who has scored the highest number of runs in test cricket?</x:v>
      </x:c>
      <x:c r="E300" t="str">
        <x:v>old_old</x:v>
      </x:c>
      <x:c r="F300" t="str">
        <x:v>old_new</x:v>
      </x:c>
      <x:c r="G300" s="34" t="n">
        <x:v>1</x:v>
      </x:c>
      <x:c r="H300" s="34" t="n">
        <x:v>0.6666666666666666</x:v>
      </x:c>
      <x:c r="I300" s="34" t="n">
        <x:v>-0.33333333333333337</x:v>
      </x:c>
      <x:c r="J300" t="str">
        <x:v>regressed</x:v>
      </x:c>
      <x:c r="K300" t="n">
        <x:v>3</x:v>
      </x:c>
      <x:c r="L300" t="n">
        <x:v>3</x:v>
      </x:c>
      <x:c r="M300" t="n">
        <x:v>2</x:v>
      </x:c>
      <x:c r="N300" t="n">
        <x:v>3</x:v>
      </x:c>
    </x:row>
    <x:row r="301">
      <x:c r="A301" t="str">
        <x:v>a2_new_minus_old_on_old_a1</x:v>
      </x:c>
      <x:c r="B301" t="str">
        <x:v>span_aligned</x:v>
      </x:c>
      <x:c r="C301" t="str">
        <x:f>"qid:-99543908387769967"</x:f>
        <x:v>qid:-99543908387769967</x:v>
      </x:c>
      <x:c r="D301" s="14" t="str">
        <x:v>Who does sansa marry on game of thrones?</x:v>
      </x:c>
      <x:c r="E301" t="str">
        <x:v>old_old</x:v>
      </x:c>
      <x:c r="F301" t="str">
        <x:v>old_new</x:v>
      </x:c>
      <x:c r="G301" s="34" t="n">
        <x:v>1</x:v>
      </x:c>
      <x:c r="H301" s="34" t="n">
        <x:v>1</x:v>
      </x:c>
      <x:c r="I301" s="34" t="n">
        <x:v>0</x:v>
      </x:c>
      <x:c r="J301" t="str">
        <x:v>unchanged</x:v>
      </x:c>
      <x:c r="K301" t="n">
        <x:v>2</x:v>
      </x:c>
      <x:c r="L301" t="n">
        <x:v>2</x:v>
      </x:c>
      <x:c r="M301" t="n">
        <x:v>3</x:v>
      </x:c>
      <x:c r="N301" t="n">
        <x:v>3</x:v>
      </x:c>
    </x:row>
    <x:row r="302">
      <x:c r="A302" t="str">
        <x:v>a2_new_minus_old_on_old_a1</x:v>
      </x:c>
      <x:c r="B302" t="str">
        <x:v>span_aligned</x:v>
      </x:c>
      <x:c r="C302" t="str">
        <x:f>"qid:16881061444712536"</x:f>
        <x:v>qid:16881061444712536</x:v>
      </x:c>
      <x:c r="D302" s="14" t="str">
        <x:v>Where does the amazon river start and finish?</x:v>
      </x:c>
      <x:c r="E302" t="str">
        <x:v>old_old</x:v>
      </x:c>
      <x:c r="F302" t="str">
        <x:v>old_new</x:v>
      </x:c>
      <x:c r="G302" s="34" t="n">
        <x:v>0.5</x:v>
      </x:c>
      <x:c r="H302" s="34" t="n">
        <x:v>0.5</x:v>
      </x:c>
      <x:c r="I302" s="34" t="n">
        <x:v>0</x:v>
      </x:c>
      <x:c r="J302" t="str">
        <x:v>unchanged</x:v>
      </x:c>
      <x:c r="K302" t="n">
        <x:v>1</x:v>
      </x:c>
      <x:c r="L302" t="n">
        <x:v>2</x:v>
      </x:c>
      <x:c r="M302" t="n">
        <x:v>1</x:v>
      </x:c>
      <x:c r="N302" t="n">
        <x:v>2</x:v>
      </x:c>
    </x:row>
    <x:row r="303">
      <x:c r="A303" t="str">
        <x:v>a2_new_minus_old_on_old_a1</x:v>
      </x:c>
      <x:c r="B303" t="str">
        <x:v>span_aligned</x:v>
      </x:c>
      <x:c r="C303" t="str">
        <x:f>"qid:1763163294931046731"</x:f>
        <x:v>qid:1763163294931046731</x:v>
      </x:c>
      <x:c r="D303" s="14" t="str">
        <x:v>Who played violet rutherford on leave it to beaver?</x:v>
      </x:c>
      <x:c r="E303" t="str">
        <x:v>old_old</x:v>
      </x:c>
      <x:c r="F303" t="str">
        <x:v>old_new</x:v>
      </x:c>
      <x:c r="G303" s="34" t="n">
        <x:v>1</x:v>
      </x:c>
      <x:c r="H303" s="34" t="n">
        <x:v>1</x:v>
      </x:c>
      <x:c r="I303" s="34" t="n">
        <x:v>0</x:v>
      </x:c>
      <x:c r="J303" t="str">
        <x:v>unchanged</x:v>
      </x:c>
      <x:c r="K303" t="n">
        <x:v>1</x:v>
      </x:c>
      <x:c r="L303" t="n">
        <x:v>1</x:v>
      </x:c>
      <x:c r="M303" t="n">
        <x:v>1</x:v>
      </x:c>
      <x:c r="N303" t="n">
        <x:v>1</x:v>
      </x:c>
    </x:row>
    <x:row r="304">
      <x:c r="A304" t="str">
        <x:v>a2_new_minus_old_on_old_a1</x:v>
      </x:c>
      <x:c r="B304" t="str">
        <x:v>span_aligned</x:v>
      </x:c>
      <x:c r="C304" t="str">
        <x:f>"qid:2221044921312683785"</x:f>
        <x:v>qid:2221044921312683785</x:v>
      </x:c>
      <x:c r="D304" s="14" t="str">
        <x:v>When did the apple tv 4k come out?</x:v>
      </x:c>
      <x:c r="E304" t="str">
        <x:v>old_old</x:v>
      </x:c>
      <x:c r="F304" t="str">
        <x:v>old_new</x:v>
      </x:c>
      <x:c r="G304" s="34" t="n">
        <x:v>1</x:v>
      </x:c>
      <x:c r="H304" s="34" t="n">
        <x:v>1</x:v>
      </x:c>
      <x:c r="I304" s="34" t="n">
        <x:v>0</x:v>
      </x:c>
      <x:c r="J304" t="str">
        <x:v>unchanged</x:v>
      </x:c>
      <x:c r="K304" t="n">
        <x:v>1</x:v>
      </x:c>
      <x:c r="L304" t="n">
        <x:v>1</x:v>
      </x:c>
      <x:c r="M304" t="n">
        <x:v>1</x:v>
      </x:c>
      <x:c r="N304" t="n">
        <x:v>1</x:v>
      </x:c>
    </x:row>
    <x:row r="305">
      <x:c r="A305" t="str">
        <x:v>a2_new_minus_old_on_old_a1</x:v>
      </x:c>
      <x:c r="B305" t="str">
        <x:v>span_aligned</x:v>
      </x:c>
      <x:c r="C305" t="str">
        <x:f>"qid:2469112227919120438"</x:f>
        <x:v>qid:2469112227919120438</x:v>
      </x:c>
      <x:c r="D305" s="14" t="str">
        <x:v>The creation of the senate was based on the?</x:v>
      </x:c>
      <x:c r="E305" t="str">
        <x:v>old_old</x:v>
      </x:c>
      <x:c r="F305" t="str">
        <x:v>old_new</x:v>
      </x:c>
      <x:c r="G305" s="34" t="n">
        <x:v>0.6</x:v>
      </x:c>
      <x:c r="H305" s="34" t="n">
        <x:v>0.6</x:v>
      </x:c>
      <x:c r="I305" s="34" t="n">
        <x:v>0</x:v>
      </x:c>
      <x:c r="J305" t="str">
        <x:v>unchanged</x:v>
      </x:c>
      <x:c r="K305" t="n">
        <x:v>3</x:v>
      </x:c>
      <x:c r="L305" t="n">
        <x:v>5</x:v>
      </x:c>
      <x:c r="M305" t="n">
        <x:v>3</x:v>
      </x:c>
      <x:c r="N305" t="n">
        <x:v>5</x:v>
      </x:c>
    </x:row>
    <x:row r="306">
      <x:c r="A306" t="str">
        <x:v>a2_new_minus_old_on_old_a1</x:v>
      </x:c>
      <x:c r="B306" t="str">
        <x:v>span_aligned</x:v>
      </x:c>
      <x:c r="C306" t="str">
        <x:f>"qid:3605104154738105404"</x:f>
        <x:v>qid:3605104154738105404</x:v>
      </x:c>
      <x:c r="D306" s="14" t="str">
        <x:v>What episode does jason gideon die in criminal minds?</x:v>
      </x:c>
      <x:c r="E306" t="str">
        <x:v>old_old</x:v>
      </x:c>
      <x:c r="F306" t="str">
        <x:v>old_new</x:v>
      </x:c>
      <x:c r="G306" s="34" t="n">
        <x:v>0</x:v>
      </x:c>
      <x:c r="H306" s="34" t="n">
        <x:v>1</x:v>
      </x:c>
      <x:c r="I306" s="34" t="n">
        <x:v>1</x:v>
      </x:c>
      <x:c r="J306" t="str">
        <x:v>improved</x:v>
      </x:c>
      <x:c r="K306" t="n">
        <x:v>0</x:v>
      </x:c>
      <x:c r="L306" t="n">
        <x:v>1</x:v>
      </x:c>
      <x:c r="M306" t="n">
        <x:v>1</x:v>
      </x:c>
      <x:c r="N306" t="n">
        <x:v>1</x:v>
      </x:c>
    </x:row>
    <x:row r="307">
      <x:c r="A307" t="str">
        <x:v>a2_new_minus_old_on_old_a1</x:v>
      </x:c>
      <x:c r="B307" t="str">
        <x:v>span_aligned</x:v>
      </x:c>
      <x:c r="C307" t="str">
        <x:f>"qid:4150448921344430432"</x:f>
        <x:v>qid:4150448921344430432</x:v>
      </x:c>
      <x:c r="D307" s="14" t="str">
        <x:v>Who were the original twins in everybody loves raymond?</x:v>
      </x:c>
      <x:c r="E307" t="str">
        <x:v>old_old</x:v>
      </x:c>
      <x:c r="F307" t="str">
        <x:v>old_new</x:v>
      </x:c>
      <x:c r="G307" s="34" t="n">
        <x:v>1</x:v>
      </x:c>
      <x:c r="H307" s="34" t="n">
        <x:v>1</x:v>
      </x:c>
      <x:c r="I307" s="34" t="n">
        <x:v>0</x:v>
      </x:c>
      <x:c r="J307" t="str">
        <x:v>unchanged</x:v>
      </x:c>
      <x:c r="K307" t="n">
        <x:v>2</x:v>
      </x:c>
      <x:c r="L307" t="n">
        <x:v>2</x:v>
      </x:c>
      <x:c r="M307" t="n">
        <x:v>2</x:v>
      </x:c>
      <x:c r="N307" t="n">
        <x:v>2</x:v>
      </x:c>
    </x:row>
    <x:row r="308">
      <x:c r="A308" t="str">
        <x:v>a2_new_minus_old_on_old_a1</x:v>
      </x:c>
      <x:c r="B308" t="str">
        <x:v>span_aligned</x:v>
      </x:c>
      <x:c r="C308" t="str">
        <x:f>"qid:4183252176965080529"</x:f>
        <x:v>qid:4183252176965080529</x:v>
      </x:c>
      <x:c r="D308" s="14" t="str">
        <x:v>When does the new independence day come out?</x:v>
      </x:c>
      <x:c r="E308" t="str">
        <x:v>old_old</x:v>
      </x:c>
      <x:c r="F308" t="str">
        <x:v>old_new</x:v>
      </x:c>
      <x:c r="G308" s="34" t="n">
        <x:v>0.3333333333333333</x:v>
      </x:c>
      <x:c r="H308" s="34" t="n">
        <x:v>0.3333333333333333</x:v>
      </x:c>
      <x:c r="I308" s="34" t="n">
        <x:v>0</x:v>
      </x:c>
      <x:c r="J308" t="str">
        <x:v>unchanged</x:v>
      </x:c>
      <x:c r="K308" t="n">
        <x:v>1</x:v>
      </x:c>
      <x:c r="L308" t="n">
        <x:v>3</x:v>
      </x:c>
      <x:c r="M308" t="n">
        <x:v>1</x:v>
      </x:c>
      <x:c r="N308" t="n">
        <x:v>3</x:v>
      </x:c>
    </x:row>
    <x:row r="309">
      <x:c r="A309" t="str">
        <x:v>a2_new_minus_old_on_old_a1</x:v>
      </x:c>
      <x:c r="B309" t="str">
        <x:v>span_aligned</x:v>
      </x:c>
      <x:c r="C309" t="str">
        <x:f>"qid:4474597907223412132"</x:f>
        <x:v>qid:4474597907223412132</x:v>
      </x:c>
      <x:c r="D309" s="14" t="str">
        <x:v>Who were the two astronauts who stayed a year on the iss?</x:v>
      </x:c>
      <x:c r="E309" t="str">
        <x:v>old_old</x:v>
      </x:c>
      <x:c r="F309" t="str">
        <x:v>old_new</x:v>
      </x:c>
      <x:c r="G309" s="34" t="n">
        <x:v>1</x:v>
      </x:c>
      <x:c r="H309" s="34" t="n">
        <x:v>1</x:v>
      </x:c>
      <x:c r="I309" s="34" t="n">
        <x:v>0</x:v>
      </x:c>
      <x:c r="J309" t="str">
        <x:v>unchanged</x:v>
      </x:c>
      <x:c r="K309" t="n">
        <x:v>1</x:v>
      </x:c>
      <x:c r="L309" t="n">
        <x:v>1</x:v>
      </x:c>
      <x:c r="M309" t="n">
        <x:v>2</x:v>
      </x:c>
      <x:c r="N309" t="n">
        <x:v>2</x:v>
      </x:c>
    </x:row>
    <x:row r="310">
      <x:c r="A310" t="str">
        <x:v>a2_new_minus_old_on_old_a1</x:v>
      </x:c>
      <x:c r="B310" t="str">
        <x:v>span_aligned</x:v>
      </x:c>
      <x:c r="C310" t="str">
        <x:f>"qid:586233275728240023"</x:f>
        <x:v>qid:586233275728240023</x:v>
      </x:c>
      <x:c r="D310" s="14" t="str">
        <x:v>What is the os of samsung smart tv?</x:v>
      </x:c>
      <x:c r="E310" t="str">
        <x:v>old_old</x:v>
      </x:c>
      <x:c r="F310" t="str">
        <x:v>old_new</x:v>
      </x:c>
      <x:c r="G310" s="34" t="n">
        <x:v>1</x:v>
      </x:c>
      <x:c r="H310" s="34" t="n">
        <x:v>1</x:v>
      </x:c>
      <x:c r="I310" s="34" t="n">
        <x:v>0</x:v>
      </x:c>
      <x:c r="J310" t="str">
        <x:v>unchanged</x:v>
      </x:c>
      <x:c r="K310" t="n">
        <x:v>1</x:v>
      </x:c>
      <x:c r="L310" t="n">
        <x:v>1</x:v>
      </x:c>
      <x:c r="M310" t="n">
        <x:v>1</x:v>
      </x:c>
      <x:c r="N310" t="n">
        <x:v>1</x:v>
      </x:c>
    </x:row>
    <x:row r="311">
      <x:c r="A311" t="str">
        <x:v>a2_new_minus_old_on_old_a1</x:v>
      </x:c>
      <x:c r="B311" t="str">
        <x:v>span_aligned</x:v>
      </x:c>
      <x:c r="C311" t="str">
        <x:f>"qid:6257465985316109835"</x:f>
        <x:v>qid:6257465985316109835</x:v>
      </x:c>
      <x:c r="D311" s="14" t="str">
        <x:v>Who is the main character in liv and maddie?</x:v>
      </x:c>
      <x:c r="E311" t="str">
        <x:v>old_old</x:v>
      </x:c>
      <x:c r="F311" t="str">
        <x:v>old_new</x:v>
      </x:c>
      <x:c r="G311" s="34" t="n">
        <x:v>1</x:v>
      </x:c>
      <x:c r="H311" s="34" t="n">
        <x:v>1</x:v>
      </x:c>
      <x:c r="I311" s="34" t="n">
        <x:v>0</x:v>
      </x:c>
      <x:c r="J311" t="str">
        <x:v>unchanged</x:v>
      </x:c>
      <x:c r="K311" t="n">
        <x:v>1</x:v>
      </x:c>
      <x:c r="L311" t="n">
        <x:v>1</x:v>
      </x:c>
      <x:c r="M311" t="n">
        <x:v>1</x:v>
      </x:c>
      <x:c r="N311" t="n">
        <x:v>1</x:v>
      </x:c>
    </x:row>
    <x:row r="312">
      <x:c r="A312" t="str">
        <x:v>a2_new_minus_old_on_old_a1</x:v>
      </x:c>
      <x:c r="B312" t="str">
        <x:v>span_aligned</x:v>
      </x:c>
      <x:c r="C312" t="str">
        <x:f>"qid:6514531923811923780"</x:f>
        <x:v>qid:6514531923811923780</x:v>
      </x:c>
      <x:c r="D312" s="14" t="str">
        <x:v>When does disney's food and wine festival end?</x:v>
      </x:c>
      <x:c r="E312" t="str">
        <x:v>old_old</x:v>
      </x:c>
      <x:c r="F312" t="str">
        <x:v>old_new</x:v>
      </x:c>
      <x:c r="G312" s="34" t="n">
        <x:v>0</x:v>
      </x:c>
      <x:c r="H312" s="34" t="n">
        <x:v>0.5</x:v>
      </x:c>
      <x:c r="I312" s="34" t="n">
        <x:v>0.5</x:v>
      </x:c>
      <x:c r="J312" t="str">
        <x:v>improved</x:v>
      </x:c>
      <x:c r="K312" t="n">
        <x:v>0</x:v>
      </x:c>
      <x:c r="L312" t="n">
        <x:v>1</x:v>
      </x:c>
      <x:c r="M312" t="n">
        <x:v>1</x:v>
      </x:c>
      <x:c r="N312" t="n">
        <x:v>2</x:v>
      </x:c>
    </x:row>
    <x:row r="313">
      <x:c r="A313" t="str">
        <x:v>a2_new_minus_old_on_old_a1</x:v>
      </x:c>
      <x:c r="B313" t="str">
        <x:v>span_aligned</x:v>
      </x:c>
      <x:c r="C313" t="str">
        <x:f>"qid:6776234528515962047"</x:f>
        <x:v>qid:6776234528515962047</x:v>
      </x:c>
      <x:c r="D313" s="14" t="str">
        <x:v>Who is the most run in cricket history?</x:v>
      </x:c>
      <x:c r="E313" t="str">
        <x:v>old_old</x:v>
      </x:c>
      <x:c r="F313" t="str">
        <x:v>old_new</x:v>
      </x:c>
      <x:c r="G313" s="34" t="n">
        <x:v>1</x:v>
      </x:c>
      <x:c r="H313" s="34" t="n">
        <x:v>0.5</x:v>
      </x:c>
      <x:c r="I313" s="34" t="n">
        <x:v>-0.5</x:v>
      </x:c>
      <x:c r="J313" t="str">
        <x:v>regressed</x:v>
      </x:c>
      <x:c r="K313" t="n">
        <x:v>2</x:v>
      </x:c>
      <x:c r="L313" t="n">
        <x:v>2</x:v>
      </x:c>
      <x:c r="M313" t="n">
        <x:v>1</x:v>
      </x:c>
      <x:c r="N313" t="n">
        <x:v>2</x:v>
      </x:c>
    </x:row>
    <x:row r="314">
      <x:c r="A314" t="str">
        <x:v>a2_new_minus_old_on_old_a1</x:v>
      </x:c>
      <x:c r="B314" t="str">
        <x:v>span_aligned</x:v>
      </x:c>
      <x:c r="C314" t="str">
        <x:f>"qid:6962706727076805207"</x:f>
        <x:v>qid:6962706727076805207</x:v>
      </x:c>
      <x:c r="D314" s="14" t="str">
        <x:v>What kind of car in to catch a thief?</x:v>
      </x:c>
      <x:c r="E314" t="str">
        <x:v>old_old</x:v>
      </x:c>
      <x:c r="F314" t="str">
        <x:v>old_new</x:v>
      </x:c>
      <x:c r="G314" s="34" t="n">
        <x:v>0.3333333333333333</x:v>
      </x:c>
      <x:c r="H314" s="34" t="n">
        <x:v>0.6666666666666666</x:v>
      </x:c>
      <x:c r="I314" s="34" t="n">
        <x:v>0.3333333333333333</x:v>
      </x:c>
      <x:c r="J314" t="str">
        <x:v>improved</x:v>
      </x:c>
      <x:c r="K314" t="n">
        <x:v>1</x:v>
      </x:c>
      <x:c r="L314" t="n">
        <x:v>3</x:v>
      </x:c>
      <x:c r="M314" t="n">
        <x:v>2</x:v>
      </x:c>
      <x:c r="N314" t="n">
        <x:v>3</x:v>
      </x:c>
    </x:row>
    <x:row r="315">
      <x:c r="A315" t="str">
        <x:v>a2_new_minus_old_on_old_a1</x:v>
      </x:c>
      <x:c r="B315" t="str">
        <x:v>span_aligned</x:v>
      </x:c>
      <x:c r="C315" t="str">
        <x:f>"qid:7150599999316106461"</x:f>
        <x:v>qid:7150599999316106461</x:v>
      </x:c>
      <x:c r="D315" s="14" t="str">
        <x:v>Who was the first singing brothers in the hall of fame?</x:v>
      </x:c>
      <x:c r="E315" t="str">
        <x:v>old_old</x:v>
      </x:c>
      <x:c r="F315" t="str">
        <x:v>old_new</x:v>
      </x:c>
      <x:c r="G315" s="34" t="n">
        <x:v>0.5</x:v>
      </x:c>
      <x:c r="H315" s="34" t="n">
        <x:v>0.5</x:v>
      </x:c>
      <x:c r="I315" s="34" t="n">
        <x:v>0</x:v>
      </x:c>
      <x:c r="J315" t="str">
        <x:v>unchanged</x:v>
      </x:c>
      <x:c r="K315" t="n">
        <x:v>1</x:v>
      </x:c>
      <x:c r="L315" t="n">
        <x:v>2</x:v>
      </x:c>
      <x:c r="M315" t="n">
        <x:v>1</x:v>
      </x:c>
      <x:c r="N315" t="n">
        <x:v>2</x:v>
      </x:c>
    </x:row>
    <x:row r="316">
      <x:c r="A316" t="str">
        <x:v>a2_new_minus_old_on_old_a1</x:v>
      </x:c>
      <x:c r="B316" t="str">
        <x:v>span_aligned</x:v>
      </x:c>
      <x:c r="C316" t="str">
        <x:f>"qid:732619765350082410"</x:f>
        <x:v>qid:732619765350082410</x:v>
      </x:c>
      <x:c r="D316" s="14" t="str">
        <x:v>When did toronto host the mlb all-star game?</x:v>
      </x:c>
      <x:c r="E316" t="str">
        <x:v>old_old</x:v>
      </x:c>
      <x:c r="F316" t="str">
        <x:v>old_new</x:v>
      </x:c>
      <x:c r="G316" s="34" t="n">
        <x:v>1</x:v>
      </x:c>
      <x:c r="H316" s="34" t="n">
        <x:v>1</x:v>
      </x:c>
      <x:c r="I316" s="34" t="n">
        <x:v>0</x:v>
      </x:c>
      <x:c r="J316" t="str">
        <x:v>unchanged</x:v>
      </x:c>
      <x:c r="K316" t="n">
        <x:v>1</x:v>
      </x:c>
      <x:c r="L316" t="n">
        <x:v>1</x:v>
      </x:c>
      <x:c r="M316" t="n">
        <x:v>1</x:v>
      </x:c>
      <x:c r="N316" t="n">
        <x:v>1</x:v>
      </x:c>
    </x:row>
    <x:row r="317">
      <x:c r="A317" t="str">
        <x:v>a2_new_minus_old_on_old_a1</x:v>
      </x:c>
      <x:c r="B317" t="str">
        <x:v>span_aligned</x:v>
      </x:c>
      <x:c r="C317" t="str">
        <x:f>"qid:743600309736467122"</x:f>
        <x:v>qid:743600309736467122</x:v>
      </x:c>
      <x:c r="D317" s="14" t="str">
        <x:v>When was on the revolutions of the heavenly spheres published?</x:v>
      </x:c>
      <x:c r="E317" t="str">
        <x:v>old_old</x:v>
      </x:c>
      <x:c r="F317" t="str">
        <x:v>old_new</x:v>
      </x:c>
      <x:c r="G317" s="34" t="n">
        <x:v>0</x:v>
      </x:c>
      <x:c r="H317" s="34" t="n">
        <x:v>0</x:v>
      </x:c>
      <x:c r="I317" s="34" t="n">
        <x:v>0</x:v>
      </x:c>
      <x:c r="J317" t="str">
        <x:v>unchanged</x:v>
      </x:c>
      <x:c r="K317" t="n">
        <x:v>0</x:v>
      </x:c>
      <x:c r="L317" t="n">
        <x:v>2</x:v>
      </x:c>
      <x:c r="M317" t="n">
        <x:v>0</x:v>
      </x:c>
      <x:c r="N317" t="n">
        <x:v>2</x:v>
      </x:c>
    </x:row>
    <x:row r="318">
      <x:c r="A318" t="str">
        <x:v>a2_new_minus_old_on_old_a1</x:v>
      </x:c>
      <x:c r="B318" t="str">
        <x:v>span_aligned</x:v>
      </x:c>
      <x:c r="C318" t="str">
        <x:f>"qid:7797208395147217894"</x:f>
        <x:v>qid:7797208395147217894</x:v>
      </x:c>
      <x:c r="D318" s="14" t="str">
        <x:v>When did west germany win the world cup?</x:v>
      </x:c>
      <x:c r="E318" t="str">
        <x:v>old_old</x:v>
      </x:c>
      <x:c r="F318" t="str">
        <x:v>old_new</x:v>
      </x:c>
      <x:c r="G318" s="34" t="n">
        <x:v>0.5</x:v>
      </x:c>
      <x:c r="H318" s="34" t="n">
        <x:v>0.75</x:v>
      </x:c>
      <x:c r="I318" s="34" t="n">
        <x:v>0.25</x:v>
      </x:c>
      <x:c r="J318" t="str">
        <x:v>improved</x:v>
      </x:c>
      <x:c r="K318" t="n">
        <x:v>2</x:v>
      </x:c>
      <x:c r="L318" t="n">
        <x:v>4</x:v>
      </x:c>
      <x:c r="M318" t="n">
        <x:v>3</x:v>
      </x:c>
      <x:c r="N318" t="n">
        <x:v>4</x:v>
      </x:c>
    </x:row>
    <x:row r="319">
      <x:c r="A319" t="str">
        <x:v>a2_new_minus_old_on_old_a1</x:v>
      </x:c>
      <x:c r="B319" t="str">
        <x:v>span_aligned</x:v>
      </x:c>
      <x:c r="C319" t="str">
        <x:f>"qid:8433533625736230886"</x:f>
        <x:v>qid:8433533625736230886</x:v>
      </x:c>
      <x:c r="D319" s="14" t="str">
        <x:v>Who has won the most trophies man utd or liverpool?</x:v>
      </x:c>
      <x:c r="E319" t="str">
        <x:v>old_old</x:v>
      </x:c>
      <x:c r="F319" t="str">
        <x:v>old_new</x:v>
      </x:c>
      <x:c r="G319" s="34" t="n">
        <x:v>1</x:v>
      </x:c>
      <x:c r="H319" s="34" t="n">
        <x:v>1</x:v>
      </x:c>
      <x:c r="I319" s="34" t="n">
        <x:v>0</x:v>
      </x:c>
      <x:c r="J319" t="str">
        <x:v>unchanged</x:v>
      </x:c>
      <x:c r="K319" t="n">
        <x:v>1</x:v>
      </x:c>
      <x:c r="L319" t="n">
        <x:v>1</x:v>
      </x:c>
      <x:c r="M319" t="n">
        <x:v>1</x:v>
      </x:c>
      <x:c r="N319" t="n">
        <x:v>1</x:v>
      </x:c>
    </x:row>
    <x:row r="320">
      <x:c r="A320" t="str">
        <x:v>a2_new_minus_old_on_old_a1</x:v>
      </x:c>
      <x:c r="B320" t="str">
        <x:v>span_aligned</x:v>
      </x:c>
      <x:c r="C320" t="str">
        <x:f>"qid:8686216144939155905"</x:f>
        <x:v>qid:8686216144939155905</x:v>
      </x:c>
      <x:c r="D320" s="14" t="str">
        <x:v>What is the name of the time zone for london?</x:v>
      </x:c>
      <x:c r="E320" t="str">
        <x:v>old_old</x:v>
      </x:c>
      <x:c r="F320" t="str">
        <x:v>old_new</x:v>
      </x:c>
      <x:c r="G320" s="34" t="n">
        <x:v>1</x:v>
      </x:c>
      <x:c r="H320" s="34" t="n">
        <x:v>1</x:v>
      </x:c>
      <x:c r="I320" s="34" t="n">
        <x:v>0</x:v>
      </x:c>
      <x:c r="J320" t="str">
        <x:v>unchanged</x:v>
      </x:c>
      <x:c r="K320" t="n">
        <x:v>1</x:v>
      </x:c>
      <x:c r="L320" t="n">
        <x:v>1</x:v>
      </x:c>
      <x:c r="M320" t="n">
        <x:v>1</x:v>
      </x:c>
      <x:c r="N320" t="n">
        <x:v>1</x:v>
      </x:c>
    </x:row>
    <x:row r="321">
      <x:c r="A321" t="str">
        <x:v>a2_new_minus_old_on_old_a1</x:v>
      </x:c>
      <x:c r="B321" t="str">
        <x:v>span_aligned</x:v>
      </x:c>
      <x:c r="C321" t="str">
        <x:f>"qid:87005427005915954"</x:f>
        <x:v>qid:87005427005915954</x:v>
      </x:c>
      <x:c r="D321" s="14" t="str">
        <x:v>When was the last time galway won the hurling all ireland?</x:v>
      </x:c>
      <x:c r="E321" t="str">
        <x:v>old_old</x:v>
      </x:c>
      <x:c r="F321" t="str">
        <x:v>old_new</x:v>
      </x:c>
      <x:c r="G321" s="34" t="n">
        <x:v>1</x:v>
      </x:c>
      <x:c r="H321" s="34" t="n">
        <x:v>1</x:v>
      </x:c>
      <x:c r="I321" s="34" t="n">
        <x:v>0</x:v>
      </x:c>
      <x:c r="J321" t="str">
        <x:v>unchanged</x:v>
      </x:c>
      <x:c r="K321" t="n">
        <x:v>1</x:v>
      </x:c>
      <x:c r="L321" t="n">
        <x:v>1</x:v>
      </x:c>
      <x:c r="M321" t="n">
        <x:v>1</x:v>
      </x:c>
      <x:c r="N321" t="n">
        <x:v>1</x:v>
      </x:c>
    </x:row>
    <x:row r="322">
      <x:c r="A322" t="str">
        <x:v>a2_new_minus_old_on_old_a1</x:v>
      </x:c>
      <x:c r="B322" t="str">
        <x:v>rewrite_faithful</x:v>
      </x:c>
      <x:c r="C322" t="str">
        <x:f>"qid:-1062522255440685408"</x:f>
        <x:v>qid:-1062522255440685408</x:v>
      </x:c>
      <x:c r="D322" s="14" t="str">
        <x:v>When did the first generation kindle fire come out?</x:v>
      </x:c>
      <x:c r="E322" t="str">
        <x:v>old_old</x:v>
      </x:c>
      <x:c r="F322" t="str">
        <x:v>old_new</x:v>
      </x:c>
      <x:c r="G322" s="34" t="n">
        <x:v>1</x:v>
      </x:c>
      <x:c r="H322" s="34" t="n">
        <x:v>1</x:v>
      </x:c>
      <x:c r="I322" s="34" t="n">
        <x:v>0</x:v>
      </x:c>
      <x:c r="J322" t="str">
        <x:v>unchanged</x:v>
      </x:c>
      <x:c r="K322" t="n">
        <x:v>1</x:v>
      </x:c>
      <x:c r="L322" t="n">
        <x:v>1</x:v>
      </x:c>
      <x:c r="M322" t="n">
        <x:v>1</x:v>
      </x:c>
      <x:c r="N322" t="n">
        <x:v>1</x:v>
      </x:c>
    </x:row>
    <x:row r="323">
      <x:c r="A323" t="str">
        <x:v>a2_new_minus_old_on_old_a1</x:v>
      </x:c>
      <x:c r="B323" t="str">
        <x:v>rewrite_faithful</x:v>
      </x:c>
      <x:c r="C323" t="str">
        <x:f>"qid:-2585133819352441604"</x:f>
        <x:v>qid:-2585133819352441604</x:v>
      </x:c>
      <x:c r="D323" s="14" t="str">
        <x:v>Name of first episode of this is us?</x:v>
      </x:c>
      <x:c r="E323" t="str">
        <x:v>old_old</x:v>
      </x:c>
      <x:c r="F323" t="str">
        <x:v>old_new</x:v>
      </x:c>
      <x:c r="G323" s="34" t="n">
        <x:v>1</x:v>
      </x:c>
      <x:c r="H323" s="34" t="n">
        <x:v>1</x:v>
      </x:c>
      <x:c r="I323" s="34" t="n">
        <x:v>0</x:v>
      </x:c>
      <x:c r="J323" t="str">
        <x:v>unchanged</x:v>
      </x:c>
      <x:c r="K323" t="n">
        <x:v>1</x:v>
      </x:c>
      <x:c r="L323" t="n">
        <x:v>1</x:v>
      </x:c>
      <x:c r="M323" t="n">
        <x:v>1</x:v>
      </x:c>
      <x:c r="N323" t="n">
        <x:v>1</x:v>
      </x:c>
    </x:row>
    <x:row r="324">
      <x:c r="A324" t="str">
        <x:v>a2_new_minus_old_on_old_a1</x:v>
      </x:c>
      <x:c r="B324" t="str">
        <x:v>rewrite_faithful</x:v>
      </x:c>
      <x:c r="C324" t="str">
        <x:f>"qid:-3228483207040151533"</x:f>
        <x:v>qid:-3228483207040151533</x:v>
      </x:c>
      <x:c r="D324" s="14" t="str">
        <x:v>What bodies of water surround cabo san lucas?</x:v>
      </x:c>
      <x:c r="E324" t="str">
        <x:v>old_old</x:v>
      </x:c>
      <x:c r="F324" t="str">
        <x:v>old_new</x:v>
      </x:c>
      <x:c r="G324" s="34" t="n">
        <x:v>1</x:v>
      </x:c>
      <x:c r="H324" s="34" t="n">
        <x:v>1</x:v>
      </x:c>
      <x:c r="I324" s="34" t="n">
        <x:v>0</x:v>
      </x:c>
      <x:c r="J324" t="str">
        <x:v>unchanged</x:v>
      </x:c>
      <x:c r="K324" t="n">
        <x:v>1</x:v>
      </x:c>
      <x:c r="L324" t="n">
        <x:v>1</x:v>
      </x:c>
      <x:c r="M324" t="n">
        <x:v>1</x:v>
      </x:c>
      <x:c r="N324" t="n">
        <x:v>1</x:v>
      </x:c>
    </x:row>
    <x:row r="325">
      <x:c r="A325" t="str">
        <x:v>a2_new_minus_old_on_old_a1</x:v>
      </x:c>
      <x:c r="B325" t="str">
        <x:v>rewrite_faithful</x:v>
      </x:c>
      <x:c r="C325" t="str">
        <x:f>"qid:-3279585462082900736"</x:f>
        <x:v>qid:-3279585462082900736</x:v>
      </x:c>
      <x:c r="D325" s="14" t="str">
        <x:v>Who gets fired on grey's anatomy season 6?</x:v>
      </x:c>
      <x:c r="E325" t="str">
        <x:v>old_old</x:v>
      </x:c>
      <x:c r="F325" t="str">
        <x:v>old_new</x:v>
      </x:c>
      <x:c r="G325" s="34" t="n">
        <x:v>0</x:v>
      </x:c>
      <x:c r="H325" s="34" t="n">
        <x:v>0</x:v>
      </x:c>
      <x:c r="I325" s="34" t="n">
        <x:v>0</x:v>
      </x:c>
      <x:c r="J325" t="str">
        <x:v>unchanged</x:v>
      </x:c>
      <x:c r="K325" t="n">
        <x:v>0</x:v>
      </x:c>
      <x:c r="L325" t="n">
        <x:v>1</x:v>
      </x:c>
      <x:c r="M325" t="n">
        <x:v>0</x:v>
      </x:c>
      <x:c r="N325" t="n">
        <x:v>1</x:v>
      </x:c>
    </x:row>
    <x:row r="326">
      <x:c r="A326" t="str">
        <x:v>a2_new_minus_old_on_old_a1</x:v>
      </x:c>
      <x:c r="B326" t="str">
        <x:v>rewrite_faithful</x:v>
      </x:c>
      <x:c r="C326" t="str">
        <x:f>"qid:-3344541168958463110"</x:f>
        <x:v>qid:-3344541168958463110</x:v>
      </x:c>
      <x:c r="D326" s="14" t="str">
        <x:v>Who fought with an angel in the bible?</x:v>
      </x:c>
      <x:c r="E326" t="str">
        <x:v>old_old</x:v>
      </x:c>
      <x:c r="F326" t="str">
        <x:v>old_new</x:v>
      </x:c>
      <x:c r="G326" s="34" t="n">
        <x:v>0</x:v>
      </x:c>
      <x:c r="H326" s="34" t="n">
        <x:v>0</x:v>
      </x:c>
      <x:c r="I326" s="34" t="n">
        <x:v>0</x:v>
      </x:c>
      <x:c r="J326" t="str">
        <x:v>unchanged</x:v>
      </x:c>
      <x:c r="K326" t="n">
        <x:v>0</x:v>
      </x:c>
      <x:c r="L326" t="n">
        <x:v>2</x:v>
      </x:c>
      <x:c r="M326" t="n">
        <x:v>0</x:v>
      </x:c>
      <x:c r="N326" t="n">
        <x:v>2</x:v>
      </x:c>
    </x:row>
    <x:row r="327">
      <x:c r="A327" t="str">
        <x:v>a2_new_minus_old_on_old_a1</x:v>
      </x:c>
      <x:c r="B327" t="str">
        <x:v>rewrite_faithful</x:v>
      </x:c>
      <x:c r="C327" t="str">
        <x:f>"qid:-3904805932335139116"</x:f>
        <x:v>qid:-3904805932335139116</x:v>
      </x:c>
      <x:c r="D327" s="14" t="str">
        <x:v>What was the daughter's name on the jetsons?</x:v>
      </x:c>
      <x:c r="E327" t="str">
        <x:v>old_old</x:v>
      </x:c>
      <x:c r="F327" t="str">
        <x:v>old_new</x:v>
      </x:c>
      <x:c r="G327" s="34" t="n">
        <x:v>1</x:v>
      </x:c>
      <x:c r="H327" s="34" t="n">
        <x:v>1</x:v>
      </x:c>
      <x:c r="I327" s="34" t="n">
        <x:v>0</x:v>
      </x:c>
      <x:c r="J327" t="str">
        <x:v>unchanged</x:v>
      </x:c>
      <x:c r="K327" t="n">
        <x:v>1</x:v>
      </x:c>
      <x:c r="L327" t="n">
        <x:v>1</x:v>
      </x:c>
      <x:c r="M327" t="n">
        <x:v>1</x:v>
      </x:c>
      <x:c r="N327" t="n">
        <x:v>1</x:v>
      </x:c>
    </x:row>
    <x:row r="328">
      <x:c r="A328" t="str">
        <x:v>a2_new_minus_old_on_old_a1</x:v>
      </x:c>
      <x:c r="B328" t="str">
        <x:v>rewrite_faithful</x:v>
      </x:c>
      <x:c r="C328" t="str">
        <x:f>"qid:-4286108617234818000"</x:f>
        <x:v>qid:-4286108617234818000</x:v>
      </x:c>
      <x:c r="D328" s="14" t="str">
        <x:v>When does the new super troopers movie come out?</x:v>
      </x:c>
      <x:c r="E328" t="str">
        <x:v>old_old</x:v>
      </x:c>
      <x:c r="F328" t="str">
        <x:v>old_new</x:v>
      </x:c>
      <x:c r="G328" s="34" t="n">
        <x:v>1</x:v>
      </x:c>
      <x:c r="H328" s="34" t="n">
        <x:v>1</x:v>
      </x:c>
      <x:c r="I328" s="34" t="n">
        <x:v>0</x:v>
      </x:c>
      <x:c r="J328" t="str">
        <x:v>unchanged</x:v>
      </x:c>
      <x:c r="K328" t="n">
        <x:v>1</x:v>
      </x:c>
      <x:c r="L328" t="n">
        <x:v>1</x:v>
      </x:c>
      <x:c r="M328" t="n">
        <x:v>1</x:v>
      </x:c>
      <x:c r="N328" t="n">
        <x:v>1</x:v>
      </x:c>
    </x:row>
    <x:row r="329">
      <x:c r="A329" t="str">
        <x:v>a2_new_minus_old_on_old_a1</x:v>
      </x:c>
      <x:c r="B329" t="str">
        <x:v>rewrite_faithful</x:v>
      </x:c>
      <x:c r="C329" t="str">
        <x:f>"qid:-4456614433280196572"</x:f>
        <x:v>qid:-4456614433280196572</x:v>
      </x:c>
      <x:c r="D329" s="14" t="str">
        <x:v>What season does meredith and derek get married in grey's anatomy?</x:v>
      </x:c>
      <x:c r="E329" t="str">
        <x:v>old_old</x:v>
      </x:c>
      <x:c r="F329" t="str">
        <x:v>old_new</x:v>
      </x:c>
      <x:c r="G329" s="34" t="n">
        <x:v>1</x:v>
      </x:c>
      <x:c r="H329" s="34" t="n">
        <x:v>1</x:v>
      </x:c>
      <x:c r="I329" s="34" t="n">
        <x:v>0</x:v>
      </x:c>
      <x:c r="J329" t="str">
        <x:v>unchanged</x:v>
      </x:c>
      <x:c r="K329" t="n">
        <x:v>1</x:v>
      </x:c>
      <x:c r="L329" t="n">
        <x:v>1</x:v>
      </x:c>
      <x:c r="M329" t="n">
        <x:v>1</x:v>
      </x:c>
      <x:c r="N329" t="n">
        <x:v>1</x:v>
      </x:c>
    </x:row>
    <x:row r="330">
      <x:c r="A330" t="str">
        <x:v>a2_new_minus_old_on_old_a1</x:v>
      </x:c>
      <x:c r="B330" t="str">
        <x:v>rewrite_faithful</x:v>
      </x:c>
      <x:c r="C330" t="str">
        <x:f>"qid:-447198893588059167"</x:f>
        <x:v>qid:-447198893588059167</x:v>
      </x:c>
      <x:c r="D330" s="14" t="str">
        <x:v>Who played the father in leave it to beaver?</x:v>
      </x:c>
      <x:c r="E330" t="str">
        <x:v>old_old</x:v>
      </x:c>
      <x:c r="F330" t="str">
        <x:v>old_new</x:v>
      </x:c>
      <x:c r="G330" s="34" t="n">
        <x:v>1</x:v>
      </x:c>
      <x:c r="H330" s="34" t="n">
        <x:v>1</x:v>
      </x:c>
      <x:c r="I330" s="34" t="n">
        <x:v>0</x:v>
      </x:c>
      <x:c r="J330" t="str">
        <x:v>unchanged</x:v>
      </x:c>
      <x:c r="K330" t="n">
        <x:v>1</x:v>
      </x:c>
      <x:c r="L330" t="n">
        <x:v>1</x:v>
      </x:c>
      <x:c r="M330" t="n">
        <x:v>1</x:v>
      </x:c>
      <x:c r="N330" t="n">
        <x:v>1</x:v>
      </x:c>
    </x:row>
    <x:row r="331">
      <x:c r="A331" t="str">
        <x:v>a2_new_minus_old_on_old_a1</x:v>
      </x:c>
      <x:c r="B331" t="str">
        <x:v>rewrite_faithful</x:v>
      </x:c>
      <x:c r="C331" t="str">
        <x:f>"qid:-4649654703638364295"</x:f>
        <x:v>qid:-4649654703638364295</x:v>
      </x:c>
      <x:c r="D331" s="14" t="str">
        <x:v>Who made it through the divisional finals world of dance?</x:v>
      </x:c>
      <x:c r="E331" t="str">
        <x:v>old_old</x:v>
      </x:c>
      <x:c r="F331" t="str">
        <x:v>old_new</x:v>
      </x:c>
      <x:c r="G331" s="34" t="n">
        <x:v>1</x:v>
      </x:c>
      <x:c r="H331" s="34" t="n">
        <x:v>1</x:v>
      </x:c>
      <x:c r="I331" s="34" t="n">
        <x:v>0</x:v>
      </x:c>
      <x:c r="J331" t="str">
        <x:v>unchanged</x:v>
      </x:c>
      <x:c r="K331" t="n">
        <x:v>1</x:v>
      </x:c>
      <x:c r="L331" t="n">
        <x:v>1</x:v>
      </x:c>
      <x:c r="M331" t="n">
        <x:v>1</x:v>
      </x:c>
      <x:c r="N331" t="n">
        <x:v>1</x:v>
      </x:c>
    </x:row>
    <x:row r="332">
      <x:c r="A332" t="str">
        <x:v>a2_new_minus_old_on_old_a1</x:v>
      </x:c>
      <x:c r="B332" t="str">
        <x:v>rewrite_faithful</x:v>
      </x:c>
      <x:c r="C332" t="str">
        <x:f>"qid:-4873786835306543030"</x:f>
        <x:v>qid:-4873786835306543030</x:v>
      </x:c>
      <x:c r="D332" s="14" t="str">
        <x:v>Who is the chief minister of m. p?</x:v>
      </x:c>
      <x:c r="E332" t="str">
        <x:v>old_old</x:v>
      </x:c>
      <x:c r="F332" t="str">
        <x:v>old_new</x:v>
      </x:c>
      <x:c r="G332" s="34" t="n">
        <x:v>1</x:v>
      </x:c>
      <x:c r="H332" s="34" t="n">
        <x:v>1</x:v>
      </x:c>
      <x:c r="I332" s="34" t="n">
        <x:v>0</x:v>
      </x:c>
      <x:c r="J332" t="str">
        <x:v>unchanged</x:v>
      </x:c>
      <x:c r="K332" t="n">
        <x:v>1</x:v>
      </x:c>
      <x:c r="L332" t="n">
        <x:v>1</x:v>
      </x:c>
      <x:c r="M332" t="n">
        <x:v>1</x:v>
      </x:c>
      <x:c r="N332" t="n">
        <x:v>1</x:v>
      </x:c>
    </x:row>
    <x:row r="333">
      <x:c r="A333" t="str">
        <x:v>a2_new_minus_old_on_old_a1</x:v>
      </x:c>
      <x:c r="B333" t="str">
        <x:v>rewrite_faithful</x:v>
      </x:c>
      <x:c r="C333" t="str">
        <x:f>"qid:-4995398567532229571"</x:f>
        <x:v>qid:-4995398567532229571</x:v>
      </x:c>
      <x:c r="D333" s="14" t="str">
        <x:v>When did ragtime flourished in the united states?</x:v>
      </x:c>
      <x:c r="E333" t="str">
        <x:v>old_old</x:v>
      </x:c>
      <x:c r="F333" t="str">
        <x:v>old_new</x:v>
      </x:c>
      <x:c r="G333" s="34" t="n">
        <x:v>1</x:v>
      </x:c>
      <x:c r="H333" s="34" t="n">
        <x:v>1</x:v>
      </x:c>
      <x:c r="I333" s="34" t="n">
        <x:v>0</x:v>
      </x:c>
      <x:c r="J333" t="str">
        <x:v>unchanged</x:v>
      </x:c>
      <x:c r="K333" t="n">
        <x:v>2</x:v>
      </x:c>
      <x:c r="L333" t="n">
        <x:v>2</x:v>
      </x:c>
      <x:c r="M333" t="n">
        <x:v>2</x:v>
      </x:c>
      <x:c r="N333" t="n">
        <x:v>2</x:v>
      </x:c>
    </x:row>
    <x:row r="334">
      <x:c r="A334" t="str">
        <x:v>a2_new_minus_old_on_old_a1</x:v>
      </x:c>
      <x:c r="B334" t="str">
        <x:v>rewrite_faithful</x:v>
      </x:c>
      <x:c r="C334" t="str">
        <x:f>"qid:-5036947181661390825"</x:f>
        <x:v>qid:-5036947181661390825</x:v>
      </x:c>
      <x:c r="D334" s="14" t="str">
        <x:v>When was the vietnam veterans war memorial built?</x:v>
      </x:c>
      <x:c r="E334" t="str">
        <x:v>old_old</x:v>
      </x:c>
      <x:c r="F334" t="str">
        <x:v>old_new</x:v>
      </x:c>
      <x:c r="G334" s="34" t="n">
        <x:v>1</x:v>
      </x:c>
      <x:c r="H334" s="34" t="n">
        <x:v>1</x:v>
      </x:c>
      <x:c r="I334" s="34" t="n">
        <x:v>0</x:v>
      </x:c>
      <x:c r="J334" t="str">
        <x:v>unchanged</x:v>
      </x:c>
      <x:c r="K334" t="n">
        <x:v>1</x:v>
      </x:c>
      <x:c r="L334" t="n">
        <x:v>1</x:v>
      </x:c>
      <x:c r="M334" t="n">
        <x:v>1</x:v>
      </x:c>
      <x:c r="N334" t="n">
        <x:v>1</x:v>
      </x:c>
    </x:row>
    <x:row r="335">
      <x:c r="A335" t="str">
        <x:v>a2_new_minus_old_on_old_a1</x:v>
      </x:c>
      <x:c r="B335" t="str">
        <x:v>rewrite_faithful</x:v>
      </x:c>
      <x:c r="C335" t="str">
        <x:f>"qid:-5116644172939113883"</x:f>
        <x:v>qid:-5116644172939113883</x:v>
      </x:c>
      <x:c r="D335" s="14" t="str">
        <x:v>Who raps in the gorillaz song clint eastwood?</x:v>
      </x:c>
      <x:c r="E335" t="str">
        <x:v>old_old</x:v>
      </x:c>
      <x:c r="F335" t="str">
        <x:v>old_new</x:v>
      </x:c>
      <x:c r="G335" s="34" t="n">
        <x:v>1</x:v>
      </x:c>
      <x:c r="H335" s="34" t="n">
        <x:v>1</x:v>
      </x:c>
      <x:c r="I335" s="34" t="n">
        <x:v>0</x:v>
      </x:c>
      <x:c r="J335" t="str">
        <x:v>unchanged</x:v>
      </x:c>
      <x:c r="K335" t="n">
        <x:v>1</x:v>
      </x:c>
      <x:c r="L335" t="n">
        <x:v>1</x:v>
      </x:c>
      <x:c r="M335" t="n">
        <x:v>1</x:v>
      </x:c>
      <x:c r="N335" t="n">
        <x:v>1</x:v>
      </x:c>
    </x:row>
    <x:row r="336">
      <x:c r="A336" t="str">
        <x:v>a2_new_minus_old_on_old_a1</x:v>
      </x:c>
      <x:c r="B336" t="str">
        <x:v>rewrite_faithful</x:v>
      </x:c>
      <x:c r="C336" t="str">
        <x:f>"qid:-5333049627570569397"</x:f>
        <x:v>qid:-5333049627570569397</x:v>
      </x:c>
      <x:c r="D336" s="14" t="str">
        <x:v>When did the song can't touch this come out?</x:v>
      </x:c>
      <x:c r="E336" t="str">
        <x:v>old_old</x:v>
      </x:c>
      <x:c r="F336" t="str">
        <x:v>old_new</x:v>
      </x:c>
      <x:c r="G336" s="34" t="n">
        <x:v>1</x:v>
      </x:c>
      <x:c r="H336" s="34" t="n">
        <x:v>1</x:v>
      </x:c>
      <x:c r="I336" s="34" t="n">
        <x:v>0</x:v>
      </x:c>
      <x:c r="J336" t="str">
        <x:v>unchanged</x:v>
      </x:c>
      <x:c r="K336" t="n">
        <x:v>1</x:v>
      </x:c>
      <x:c r="L336" t="n">
        <x:v>1</x:v>
      </x:c>
      <x:c r="M336" t="n">
        <x:v>1</x:v>
      </x:c>
      <x:c r="N336" t="n">
        <x:v>1</x:v>
      </x:c>
    </x:row>
    <x:row r="337">
      <x:c r="A337" t="str">
        <x:v>a2_new_minus_old_on_old_a1</x:v>
      </x:c>
      <x:c r="B337" t="str">
        <x:v>rewrite_faithful</x:v>
      </x:c>
      <x:c r="C337" t="str">
        <x:f>"qid:-5564120845047915486"</x:f>
        <x:v>qid:-5564120845047915486</x:v>
      </x:c>
      <x:c r="D337" s="14" t="str">
        <x:v>Where do you find a simple gear train?</x:v>
      </x:c>
      <x:c r="E337" t="str">
        <x:v>old_old</x:v>
      </x:c>
      <x:c r="F337" t="str">
        <x:v>old_new</x:v>
      </x:c>
      <x:c r="G337" s="34" t="n">
        <x:v>0.75</x:v>
      </x:c>
      <x:c r="H337" s="34" t="n">
        <x:v>0.75</x:v>
      </x:c>
      <x:c r="I337" s="34" t="n">
        <x:v>0</x:v>
      </x:c>
      <x:c r="J337" t="str">
        <x:v>unchanged</x:v>
      </x:c>
      <x:c r="K337" t="n">
        <x:v>3</x:v>
      </x:c>
      <x:c r="L337" t="n">
        <x:v>4</x:v>
      </x:c>
      <x:c r="M337" t="n">
        <x:v>3</x:v>
      </x:c>
      <x:c r="N337" t="n">
        <x:v>4</x:v>
      </x:c>
    </x:row>
    <x:row r="338">
      <x:c r="A338" t="str">
        <x:v>a2_new_minus_old_on_old_a1</x:v>
      </x:c>
      <x:c r="B338" t="str">
        <x:v>rewrite_faithful</x:v>
      </x:c>
      <x:c r="C338" t="str">
        <x:f>"qid:-62521546794442829"</x:f>
        <x:v>qid:-62521546794442829</x:v>
      </x:c>
      <x:c r="D338" s="14" t="str">
        <x:v>For whom was the battle of king's mountain a victory?</x:v>
      </x:c>
      <x:c r="E338" t="str">
        <x:v>old_old</x:v>
      </x:c>
      <x:c r="F338" t="str">
        <x:v>old_new</x:v>
      </x:c>
      <x:c r="G338" s="34" t="n">
        <x:v>1</x:v>
      </x:c>
      <x:c r="H338" s="34" t="n">
        <x:v>1</x:v>
      </x:c>
      <x:c r="I338" s="34" t="n">
        <x:v>0</x:v>
      </x:c>
      <x:c r="J338" t="str">
        <x:v>unchanged</x:v>
      </x:c>
      <x:c r="K338" t="n">
        <x:v>1</x:v>
      </x:c>
      <x:c r="L338" t="n">
        <x:v>1</x:v>
      </x:c>
      <x:c r="M338" t="n">
        <x:v>1</x:v>
      </x:c>
      <x:c r="N338" t="n">
        <x:v>1</x:v>
      </x:c>
    </x:row>
    <x:row r="339">
      <x:c r="A339" t="str">
        <x:v>a2_new_minus_old_on_old_a1</x:v>
      </x:c>
      <x:c r="B339" t="str">
        <x:v>rewrite_faithful</x:v>
      </x:c>
      <x:c r="C339" t="str">
        <x:f>"qid:-6702031255040326279"</x:f>
        <x:v>qid:-6702031255040326279</x:v>
      </x:c>
      <x:c r="D339" s="14" t="str">
        <x:v>Which of the animal is a carrier of h1n1?</x:v>
      </x:c>
      <x:c r="E339" t="str">
        <x:v>old_old</x:v>
      </x:c>
      <x:c r="F339" t="str">
        <x:v>old_new</x:v>
      </x:c>
      <x:c r="G339" s="34" t="n">
        <x:v>1</x:v>
      </x:c>
      <x:c r="H339" s="34" t="n">
        <x:v>1</x:v>
      </x:c>
      <x:c r="I339" s="34" t="n">
        <x:v>0</x:v>
      </x:c>
      <x:c r="J339" t="str">
        <x:v>unchanged</x:v>
      </x:c>
      <x:c r="K339" t="n">
        <x:v>2</x:v>
      </x:c>
      <x:c r="L339" t="n">
        <x:v>2</x:v>
      </x:c>
      <x:c r="M339" t="n">
        <x:v>2</x:v>
      </x:c>
      <x:c r="N339" t="n">
        <x:v>2</x:v>
      </x:c>
    </x:row>
    <x:row r="340">
      <x:c r="A340" t="str">
        <x:v>a2_new_minus_old_on_old_a1</x:v>
      </x:c>
      <x:c r="B340" t="str">
        <x:v>rewrite_faithful</x:v>
      </x:c>
      <x:c r="C340" t="str">
        <x:f>"qid:-728189424752983312"</x:f>
        <x:v>qid:-728189424752983312</x:v>
      </x:c>
      <x:c r="D340" s="14" t="str">
        <x:v>Where did the term bye felicia come from?</x:v>
      </x:c>
      <x:c r="E340" t="str">
        <x:v>old_old</x:v>
      </x:c>
      <x:c r="F340" t="str">
        <x:v>old_new</x:v>
      </x:c>
      <x:c r="G340" s="34" t="n">
        <x:v>0.5</x:v>
      </x:c>
      <x:c r="H340" s="34" t="n">
        <x:v>0.5</x:v>
      </x:c>
      <x:c r="I340" s="34" t="n">
        <x:v>0</x:v>
      </x:c>
      <x:c r="J340" t="str">
        <x:v>unchanged</x:v>
      </x:c>
      <x:c r="K340" t="n">
        <x:v>1</x:v>
      </x:c>
      <x:c r="L340" t="n">
        <x:v>2</x:v>
      </x:c>
      <x:c r="M340" t="n">
        <x:v>1</x:v>
      </x:c>
      <x:c r="N340" t="n">
        <x:v>2</x:v>
      </x:c>
    </x:row>
    <x:row r="341">
      <x:c r="A341" t="str">
        <x:v>a2_new_minus_old_on_old_a1</x:v>
      </x:c>
      <x:c r="B341" t="str">
        <x:v>rewrite_faithful</x:v>
      </x:c>
      <x:c r="C341" t="str">
        <x:f>"qid:-7824075627194227170"</x:f>
        <x:v>qid:-7824075627194227170</x:v>
      </x:c>
      <x:c r="D341" s="14" t="str">
        <x:v>When was the commission fir sc/st established?</x:v>
      </x:c>
      <x:c r="E341" t="str">
        <x:v>old_old</x:v>
      </x:c>
      <x:c r="F341" t="str">
        <x:v>old_new</x:v>
      </x:c>
      <x:c r="G341" s="34" t="n">
        <x:v>0.3333333333333333</x:v>
      </x:c>
      <x:c r="H341" s="34" t="n">
        <x:v>0.3333333333333333</x:v>
      </x:c>
      <x:c r="I341" s="34" t="n">
        <x:v>0</x:v>
      </x:c>
      <x:c r="J341" t="str">
        <x:v>unchanged</x:v>
      </x:c>
      <x:c r="K341" t="n">
        <x:v>1</x:v>
      </x:c>
      <x:c r="L341" t="n">
        <x:v>3</x:v>
      </x:c>
      <x:c r="M341" t="n">
        <x:v>1</x:v>
      </x:c>
      <x:c r="N341" t="n">
        <x:v>3</x:v>
      </x:c>
    </x:row>
    <x:row r="342">
      <x:c r="A342" t="str">
        <x:v>a2_new_minus_old_on_old_a1</x:v>
      </x:c>
      <x:c r="B342" t="str">
        <x:v>rewrite_faithful</x:v>
      </x:c>
      <x:c r="C342" t="str">
        <x:f>"qid:-8286966211355378010"</x:f>
        <x:v>qid:-8286966211355378010</x:v>
      </x:c>
      <x:c r="D342" s="14" t="str">
        <x:v>What is the objective of tour de france?</x:v>
      </x:c>
      <x:c r="E342" t="str">
        <x:v>old_old</x:v>
      </x:c>
      <x:c r="F342" t="str">
        <x:v>old_new</x:v>
      </x:c>
      <x:c r="G342" s="34" t="n">
        <x:v>0.5</x:v>
      </x:c>
      <x:c r="H342" s="34" t="n">
        <x:v>0.5</x:v>
      </x:c>
      <x:c r="I342" s="34" t="n">
        <x:v>0</x:v>
      </x:c>
      <x:c r="J342" t="str">
        <x:v>unchanged</x:v>
      </x:c>
      <x:c r="K342" t="n">
        <x:v>2</x:v>
      </x:c>
      <x:c r="L342" t="n">
        <x:v>4</x:v>
      </x:c>
      <x:c r="M342" t="n">
        <x:v>2</x:v>
      </x:c>
      <x:c r="N342" t="n">
        <x:v>4</x:v>
      </x:c>
    </x:row>
    <x:row r="343">
      <x:c r="A343" t="str">
        <x:v>a2_new_minus_old_on_old_a1</x:v>
      </x:c>
      <x:c r="B343" t="str">
        <x:v>rewrite_faithful</x:v>
      </x:c>
      <x:c r="C343" t="str">
        <x:f>"qid:-9141149438582194391"</x:f>
        <x:v>qid:-9141149438582194391</x:v>
      </x:c>
      <x:c r="D343" s="14" t="str">
        <x:v>Who has scored the highest number of runs in test cricket?</x:v>
      </x:c>
      <x:c r="E343" t="str">
        <x:v>old_old</x:v>
      </x:c>
      <x:c r="F343" t="str">
        <x:v>old_new</x:v>
      </x:c>
      <x:c r="G343" s="34" t="n">
        <x:v>1</x:v>
      </x:c>
      <x:c r="H343" s="34" t="n">
        <x:v>0.6666666666666666</x:v>
      </x:c>
      <x:c r="I343" s="34" t="n">
        <x:v>-0.33333333333333337</x:v>
      </x:c>
      <x:c r="J343" t="str">
        <x:v>regressed</x:v>
      </x:c>
      <x:c r="K343" t="n">
        <x:v>3</x:v>
      </x:c>
      <x:c r="L343" t="n">
        <x:v>3</x:v>
      </x:c>
      <x:c r="M343" t="n">
        <x:v>2</x:v>
      </x:c>
      <x:c r="N343" t="n">
        <x:v>3</x:v>
      </x:c>
    </x:row>
    <x:row r="344">
      <x:c r="A344" t="str">
        <x:v>a2_new_minus_old_on_old_a1</x:v>
      </x:c>
      <x:c r="B344" t="str">
        <x:v>rewrite_faithful</x:v>
      </x:c>
      <x:c r="C344" t="str">
        <x:f>"qid:-99543908387769967"</x:f>
        <x:v>qid:-99543908387769967</x:v>
      </x:c>
      <x:c r="D344" s="14" t="str">
        <x:v>Who does sansa marry on game of thrones?</x:v>
      </x:c>
      <x:c r="E344" t="str">
        <x:v>old_old</x:v>
      </x:c>
      <x:c r="F344" t="str">
        <x:v>old_new</x:v>
      </x:c>
      <x:c r="G344" s="34" t="n">
        <x:v>1</x:v>
      </x:c>
      <x:c r="H344" s="34" t="n">
        <x:v>1</x:v>
      </x:c>
      <x:c r="I344" s="34" t="n">
        <x:v>0</x:v>
      </x:c>
      <x:c r="J344" t="str">
        <x:v>unchanged</x:v>
      </x:c>
      <x:c r="K344" t="n">
        <x:v>2</x:v>
      </x:c>
      <x:c r="L344" t="n">
        <x:v>2</x:v>
      </x:c>
      <x:c r="M344" t="n">
        <x:v>3</x:v>
      </x:c>
      <x:c r="N344" t="n">
        <x:v>3</x:v>
      </x:c>
    </x:row>
    <x:row r="345">
      <x:c r="A345" t="str">
        <x:v>a2_new_minus_old_on_old_a1</x:v>
      </x:c>
      <x:c r="B345" t="str">
        <x:v>rewrite_faithful</x:v>
      </x:c>
      <x:c r="C345" t="str">
        <x:f>"qid:16881061444712536"</x:f>
        <x:v>qid:16881061444712536</x:v>
      </x:c>
      <x:c r="D345" s="14" t="str">
        <x:v>Where does the amazon river start and finish?</x:v>
      </x:c>
      <x:c r="E345" t="str">
        <x:v>old_old</x:v>
      </x:c>
      <x:c r="F345" t="str">
        <x:v>old_new</x:v>
      </x:c>
      <x:c r="G345" s="34" t="n">
        <x:v>0.5</x:v>
      </x:c>
      <x:c r="H345" s="34" t="n">
        <x:v>0.5</x:v>
      </x:c>
      <x:c r="I345" s="34" t="n">
        <x:v>0</x:v>
      </x:c>
      <x:c r="J345" t="str">
        <x:v>unchanged</x:v>
      </x:c>
      <x:c r="K345" t="n">
        <x:v>1</x:v>
      </x:c>
      <x:c r="L345" t="n">
        <x:v>2</x:v>
      </x:c>
      <x:c r="M345" t="n">
        <x:v>1</x:v>
      </x:c>
      <x:c r="N345" t="n">
        <x:v>2</x:v>
      </x:c>
    </x:row>
    <x:row r="346">
      <x:c r="A346" t="str">
        <x:v>a2_new_minus_old_on_old_a1</x:v>
      </x:c>
      <x:c r="B346" t="str">
        <x:v>rewrite_faithful</x:v>
      </x:c>
      <x:c r="C346" t="str">
        <x:f>"qid:1763163294931046731"</x:f>
        <x:v>qid:1763163294931046731</x:v>
      </x:c>
      <x:c r="D346" s="14" t="str">
        <x:v>Who played violet rutherford on leave it to beaver?</x:v>
      </x:c>
      <x:c r="E346" t="str">
        <x:v>old_old</x:v>
      </x:c>
      <x:c r="F346" t="str">
        <x:v>old_new</x:v>
      </x:c>
      <x:c r="G346" s="34" t="n">
        <x:v>1</x:v>
      </x:c>
      <x:c r="H346" s="34" t="n">
        <x:v>1</x:v>
      </x:c>
      <x:c r="I346" s="34" t="n">
        <x:v>0</x:v>
      </x:c>
      <x:c r="J346" t="str">
        <x:v>unchanged</x:v>
      </x:c>
      <x:c r="K346" t="n">
        <x:v>1</x:v>
      </x:c>
      <x:c r="L346" t="n">
        <x:v>1</x:v>
      </x:c>
      <x:c r="M346" t="n">
        <x:v>1</x:v>
      </x:c>
      <x:c r="N346" t="n">
        <x:v>1</x:v>
      </x:c>
    </x:row>
    <x:row r="347">
      <x:c r="A347" t="str">
        <x:v>a2_new_minus_old_on_old_a1</x:v>
      </x:c>
      <x:c r="B347" t="str">
        <x:v>rewrite_faithful</x:v>
      </x:c>
      <x:c r="C347" t="str">
        <x:f>"qid:2221044921312683785"</x:f>
        <x:v>qid:2221044921312683785</x:v>
      </x:c>
      <x:c r="D347" s="14" t="str">
        <x:v>When did the apple tv 4k come out?</x:v>
      </x:c>
      <x:c r="E347" t="str">
        <x:v>old_old</x:v>
      </x:c>
      <x:c r="F347" t="str">
        <x:v>old_new</x:v>
      </x:c>
      <x:c r="G347" s="34" t="n">
        <x:v>0</x:v>
      </x:c>
      <x:c r="H347" s="34" t="n">
        <x:v>1</x:v>
      </x:c>
      <x:c r="I347" s="34" t="n">
        <x:v>1</x:v>
      </x:c>
      <x:c r="J347" t="str">
        <x:v>improved</x:v>
      </x:c>
      <x:c r="K347" t="n">
        <x:v>0</x:v>
      </x:c>
      <x:c r="L347" t="n">
        <x:v>1</x:v>
      </x:c>
      <x:c r="M347" t="n">
        <x:v>1</x:v>
      </x:c>
      <x:c r="N347" t="n">
        <x:v>1</x:v>
      </x:c>
    </x:row>
    <x:row r="348">
      <x:c r="A348" t="str">
        <x:v>a2_new_minus_old_on_old_a1</x:v>
      </x:c>
      <x:c r="B348" t="str">
        <x:v>rewrite_faithful</x:v>
      </x:c>
      <x:c r="C348" t="str">
        <x:f>"qid:2469112227919120438"</x:f>
        <x:v>qid:2469112227919120438</x:v>
      </x:c>
      <x:c r="D348" s="14" t="str">
        <x:v>The creation of the senate was based on the?</x:v>
      </x:c>
      <x:c r="E348" t="str">
        <x:v>old_old</x:v>
      </x:c>
      <x:c r="F348" t="str">
        <x:v>old_new</x:v>
      </x:c>
      <x:c r="G348" s="34" t="n">
        <x:v>0.6</x:v>
      </x:c>
      <x:c r="H348" s="34" t="n">
        <x:v>0.6</x:v>
      </x:c>
      <x:c r="I348" s="34" t="n">
        <x:v>0</x:v>
      </x:c>
      <x:c r="J348" t="str">
        <x:v>unchanged</x:v>
      </x:c>
      <x:c r="K348" t="n">
        <x:v>3</x:v>
      </x:c>
      <x:c r="L348" t="n">
        <x:v>5</x:v>
      </x:c>
      <x:c r="M348" t="n">
        <x:v>3</x:v>
      </x:c>
      <x:c r="N348" t="n">
        <x:v>5</x:v>
      </x:c>
    </x:row>
    <x:row r="349">
      <x:c r="A349" t="str">
        <x:v>a2_new_minus_old_on_old_a1</x:v>
      </x:c>
      <x:c r="B349" t="str">
        <x:v>rewrite_faithful</x:v>
      </x:c>
      <x:c r="C349" t="str">
        <x:f>"qid:3605104154738105404"</x:f>
        <x:v>qid:3605104154738105404</x:v>
      </x:c>
      <x:c r="D349" s="14" t="str">
        <x:v>What episode does jason gideon die in criminal minds?</x:v>
      </x:c>
      <x:c r="E349" t="str">
        <x:v>old_old</x:v>
      </x:c>
      <x:c r="F349" t="str">
        <x:v>old_new</x:v>
      </x:c>
      <x:c r="G349" s="34" t="n">
        <x:v>0</x:v>
      </x:c>
      <x:c r="H349" s="34" t="n">
        <x:v>1</x:v>
      </x:c>
      <x:c r="I349" s="34" t="n">
        <x:v>1</x:v>
      </x:c>
      <x:c r="J349" t="str">
        <x:v>improved</x:v>
      </x:c>
      <x:c r="K349" t="n">
        <x:v>0</x:v>
      </x:c>
      <x:c r="L349" t="n">
        <x:v>1</x:v>
      </x:c>
      <x:c r="M349" t="n">
        <x:v>1</x:v>
      </x:c>
      <x:c r="N349" t="n">
        <x:v>1</x:v>
      </x:c>
    </x:row>
    <x:row r="350">
      <x:c r="A350" t="str">
        <x:v>a2_new_minus_old_on_old_a1</x:v>
      </x:c>
      <x:c r="B350" t="str">
        <x:v>rewrite_faithful</x:v>
      </x:c>
      <x:c r="C350" t="str">
        <x:f>"qid:4150448921344430432"</x:f>
        <x:v>qid:4150448921344430432</x:v>
      </x:c>
      <x:c r="D350" s="14" t="str">
        <x:v>Who were the original twins in everybody loves raymond?</x:v>
      </x:c>
      <x:c r="E350" t="str">
        <x:v>old_old</x:v>
      </x:c>
      <x:c r="F350" t="str">
        <x:v>old_new</x:v>
      </x:c>
      <x:c r="G350" s="34" t="n">
        <x:v>1</x:v>
      </x:c>
      <x:c r="H350" s="34" t="n">
        <x:v>1</x:v>
      </x:c>
      <x:c r="I350" s="34" t="n">
        <x:v>0</x:v>
      </x:c>
      <x:c r="J350" t="str">
        <x:v>unchanged</x:v>
      </x:c>
      <x:c r="K350" t="n">
        <x:v>2</x:v>
      </x:c>
      <x:c r="L350" t="n">
        <x:v>2</x:v>
      </x:c>
      <x:c r="M350" t="n">
        <x:v>2</x:v>
      </x:c>
      <x:c r="N350" t="n">
        <x:v>2</x:v>
      </x:c>
    </x:row>
    <x:row r="351">
      <x:c r="A351" t="str">
        <x:v>a2_new_minus_old_on_old_a1</x:v>
      </x:c>
      <x:c r="B351" t="str">
        <x:v>rewrite_faithful</x:v>
      </x:c>
      <x:c r="C351" t="str">
        <x:f>"qid:4183252176965080529"</x:f>
        <x:v>qid:4183252176965080529</x:v>
      </x:c>
      <x:c r="D351" s="14" t="str">
        <x:v>When does the new independence day come out?</x:v>
      </x:c>
      <x:c r="E351" t="str">
        <x:v>old_old</x:v>
      </x:c>
      <x:c r="F351" t="str">
        <x:v>old_new</x:v>
      </x:c>
      <x:c r="G351" s="34" t="n">
        <x:v>0.3333333333333333</x:v>
      </x:c>
      <x:c r="H351" s="34" t="n">
        <x:v>0.3333333333333333</x:v>
      </x:c>
      <x:c r="I351" s="34" t="n">
        <x:v>0</x:v>
      </x:c>
      <x:c r="J351" t="str">
        <x:v>unchanged</x:v>
      </x:c>
      <x:c r="K351" t="n">
        <x:v>1</x:v>
      </x:c>
      <x:c r="L351" t="n">
        <x:v>3</x:v>
      </x:c>
      <x:c r="M351" t="n">
        <x:v>1</x:v>
      </x:c>
      <x:c r="N351" t="n">
        <x:v>3</x:v>
      </x:c>
    </x:row>
    <x:row r="352">
      <x:c r="A352" t="str">
        <x:v>a2_new_minus_old_on_old_a1</x:v>
      </x:c>
      <x:c r="B352" t="str">
        <x:v>rewrite_faithful</x:v>
      </x:c>
      <x:c r="C352" t="str">
        <x:f>"qid:4474597907223412132"</x:f>
        <x:v>qid:4474597907223412132</x:v>
      </x:c>
      <x:c r="D352" s="14" t="str">
        <x:v>Who were the two astronauts who stayed a year on the iss?</x:v>
      </x:c>
      <x:c r="E352" t="str">
        <x:v>old_old</x:v>
      </x:c>
      <x:c r="F352" t="str">
        <x:v>old_new</x:v>
      </x:c>
      <x:c r="G352" s="34" t="n">
        <x:v>1</x:v>
      </x:c>
      <x:c r="H352" s="34" t="n">
        <x:v>1</x:v>
      </x:c>
      <x:c r="I352" s="34" t="n">
        <x:v>0</x:v>
      </x:c>
      <x:c r="J352" t="str">
        <x:v>unchanged</x:v>
      </x:c>
      <x:c r="K352" t="n">
        <x:v>1</x:v>
      </x:c>
      <x:c r="L352" t="n">
        <x:v>1</x:v>
      </x:c>
      <x:c r="M352" t="n">
        <x:v>2</x:v>
      </x:c>
      <x:c r="N352" t="n">
        <x:v>2</x:v>
      </x:c>
    </x:row>
    <x:row r="353">
      <x:c r="A353" t="str">
        <x:v>a2_new_minus_old_on_old_a1</x:v>
      </x:c>
      <x:c r="B353" t="str">
        <x:v>rewrite_faithful</x:v>
      </x:c>
      <x:c r="C353" t="str">
        <x:f>"qid:586233275728240023"</x:f>
        <x:v>qid:586233275728240023</x:v>
      </x:c>
      <x:c r="D353" s="14" t="str">
        <x:v>What is the os of samsung smart tv?</x:v>
      </x:c>
      <x:c r="E353" t="str">
        <x:v>old_old</x:v>
      </x:c>
      <x:c r="F353" t="str">
        <x:v>old_new</x:v>
      </x:c>
      <x:c r="G353" s="34" t="n">
        <x:v>1</x:v>
      </x:c>
      <x:c r="H353" s="34" t="n">
        <x:v>1</x:v>
      </x:c>
      <x:c r="I353" s="34" t="n">
        <x:v>0</x:v>
      </x:c>
      <x:c r="J353" t="str">
        <x:v>unchanged</x:v>
      </x:c>
      <x:c r="K353" t="n">
        <x:v>1</x:v>
      </x:c>
      <x:c r="L353" t="n">
        <x:v>1</x:v>
      </x:c>
      <x:c r="M353" t="n">
        <x:v>1</x:v>
      </x:c>
      <x:c r="N353" t="n">
        <x:v>1</x:v>
      </x:c>
    </x:row>
    <x:row r="354">
      <x:c r="A354" t="str">
        <x:v>a2_new_minus_old_on_old_a1</x:v>
      </x:c>
      <x:c r="B354" t="str">
        <x:v>rewrite_faithful</x:v>
      </x:c>
      <x:c r="C354" t="str">
        <x:f>"qid:6257465985316109835"</x:f>
        <x:v>qid:6257465985316109835</x:v>
      </x:c>
      <x:c r="D354" s="14" t="str">
        <x:v>Who is the main character in liv and maddie?</x:v>
      </x:c>
      <x:c r="E354" t="str">
        <x:v>old_old</x:v>
      </x:c>
      <x:c r="F354" t="str">
        <x:v>old_new</x:v>
      </x:c>
      <x:c r="G354" s="34" t="n">
        <x:v>1</x:v>
      </x:c>
      <x:c r="H354" s="34" t="n">
        <x:v>1</x:v>
      </x:c>
      <x:c r="I354" s="34" t="n">
        <x:v>0</x:v>
      </x:c>
      <x:c r="J354" t="str">
        <x:v>unchanged</x:v>
      </x:c>
      <x:c r="K354" t="n">
        <x:v>1</x:v>
      </x:c>
      <x:c r="L354" t="n">
        <x:v>1</x:v>
      </x:c>
      <x:c r="M354" t="n">
        <x:v>1</x:v>
      </x:c>
      <x:c r="N354" t="n">
        <x:v>1</x:v>
      </x:c>
    </x:row>
    <x:row r="355">
      <x:c r="A355" t="str">
        <x:v>a2_new_minus_old_on_old_a1</x:v>
      </x:c>
      <x:c r="B355" t="str">
        <x:v>rewrite_faithful</x:v>
      </x:c>
      <x:c r="C355" t="str">
        <x:f>"qid:6514531923811923780"</x:f>
        <x:v>qid:6514531923811923780</x:v>
      </x:c>
      <x:c r="D355" s="14" t="str">
        <x:v>When does disney's food and wine festival end?</x:v>
      </x:c>
      <x:c r="E355" t="str">
        <x:v>old_old</x:v>
      </x:c>
      <x:c r="F355" t="str">
        <x:v>old_new</x:v>
      </x:c>
      <x:c r="G355" s="34" t="n">
        <x:v>0</x:v>
      </x:c>
      <x:c r="H355" s="34" t="n">
        <x:v>0.5</x:v>
      </x:c>
      <x:c r="I355" s="34" t="n">
        <x:v>0.5</x:v>
      </x:c>
      <x:c r="J355" t="str">
        <x:v>improved</x:v>
      </x:c>
      <x:c r="K355" t="n">
        <x:v>0</x:v>
      </x:c>
      <x:c r="L355" t="n">
        <x:v>1</x:v>
      </x:c>
      <x:c r="M355" t="n">
        <x:v>1</x:v>
      </x:c>
      <x:c r="N355" t="n">
        <x:v>2</x:v>
      </x:c>
    </x:row>
    <x:row r="356">
      <x:c r="A356" t="str">
        <x:v>a2_new_minus_old_on_old_a1</x:v>
      </x:c>
      <x:c r="B356" t="str">
        <x:v>rewrite_faithful</x:v>
      </x:c>
      <x:c r="C356" t="str">
        <x:f>"qid:6776234528515962047"</x:f>
        <x:v>qid:6776234528515962047</x:v>
      </x:c>
      <x:c r="D356" s="14" t="str">
        <x:v>Who is the most run in cricket history?</x:v>
      </x:c>
      <x:c r="E356" t="str">
        <x:v>old_old</x:v>
      </x:c>
      <x:c r="F356" t="str">
        <x:v>old_new</x:v>
      </x:c>
      <x:c r="G356" s="34" t="n">
        <x:v>1</x:v>
      </x:c>
      <x:c r="H356" s="34" t="n">
        <x:v>0.5</x:v>
      </x:c>
      <x:c r="I356" s="34" t="n">
        <x:v>-0.5</x:v>
      </x:c>
      <x:c r="J356" t="str">
        <x:v>regressed</x:v>
      </x:c>
      <x:c r="K356" t="n">
        <x:v>2</x:v>
      </x:c>
      <x:c r="L356" t="n">
        <x:v>2</x:v>
      </x:c>
      <x:c r="M356" t="n">
        <x:v>1</x:v>
      </x:c>
      <x:c r="N356" t="n">
        <x:v>2</x:v>
      </x:c>
    </x:row>
    <x:row r="357">
      <x:c r="A357" t="str">
        <x:v>a2_new_minus_old_on_old_a1</x:v>
      </x:c>
      <x:c r="B357" t="str">
        <x:v>rewrite_faithful</x:v>
      </x:c>
      <x:c r="C357" t="str">
        <x:f>"qid:6962706727076805207"</x:f>
        <x:v>qid:6962706727076805207</x:v>
      </x:c>
      <x:c r="D357" s="14" t="str">
        <x:v>What kind of car in to catch a thief?</x:v>
      </x:c>
      <x:c r="E357" t="str">
        <x:v>old_old</x:v>
      </x:c>
      <x:c r="F357" t="str">
        <x:v>old_new</x:v>
      </x:c>
      <x:c r="G357" s="34" t="n">
        <x:v>0.3333333333333333</x:v>
      </x:c>
      <x:c r="H357" s="34" t="n">
        <x:v>0.6666666666666666</x:v>
      </x:c>
      <x:c r="I357" s="34" t="n">
        <x:v>0.3333333333333333</x:v>
      </x:c>
      <x:c r="J357" t="str">
        <x:v>improved</x:v>
      </x:c>
      <x:c r="K357" t="n">
        <x:v>1</x:v>
      </x:c>
      <x:c r="L357" t="n">
        <x:v>3</x:v>
      </x:c>
      <x:c r="M357" t="n">
        <x:v>2</x:v>
      </x:c>
      <x:c r="N357" t="n">
        <x:v>3</x:v>
      </x:c>
    </x:row>
    <x:row r="358">
      <x:c r="A358" t="str">
        <x:v>a2_new_minus_old_on_old_a1</x:v>
      </x:c>
      <x:c r="B358" t="str">
        <x:v>rewrite_faithful</x:v>
      </x:c>
      <x:c r="C358" t="str">
        <x:f>"qid:7150599999316106461"</x:f>
        <x:v>qid:7150599999316106461</x:v>
      </x:c>
      <x:c r="D358" s="14" t="str">
        <x:v>Who was the first singing brothers in the hall of fame?</x:v>
      </x:c>
      <x:c r="E358" t="str">
        <x:v>old_old</x:v>
      </x:c>
      <x:c r="F358" t="str">
        <x:v>old_new</x:v>
      </x:c>
      <x:c r="G358" s="34" t="n">
        <x:v>0.5</x:v>
      </x:c>
      <x:c r="H358" s="34" t="n">
        <x:v>0.5</x:v>
      </x:c>
      <x:c r="I358" s="34" t="n">
        <x:v>0</x:v>
      </x:c>
      <x:c r="J358" t="str">
        <x:v>unchanged</x:v>
      </x:c>
      <x:c r="K358" t="n">
        <x:v>1</x:v>
      </x:c>
      <x:c r="L358" t="n">
        <x:v>2</x:v>
      </x:c>
      <x:c r="M358" t="n">
        <x:v>1</x:v>
      </x:c>
      <x:c r="N358" t="n">
        <x:v>2</x:v>
      </x:c>
    </x:row>
    <x:row r="359">
      <x:c r="A359" t="str">
        <x:v>a2_new_minus_old_on_old_a1</x:v>
      </x:c>
      <x:c r="B359" t="str">
        <x:v>rewrite_faithful</x:v>
      </x:c>
      <x:c r="C359" t="str">
        <x:f>"qid:732619765350082410"</x:f>
        <x:v>qid:732619765350082410</x:v>
      </x:c>
      <x:c r="D359" s="14" t="str">
        <x:v>When did toronto host the mlb all-star game?</x:v>
      </x:c>
      <x:c r="E359" t="str">
        <x:v>old_old</x:v>
      </x:c>
      <x:c r="F359" t="str">
        <x:v>old_new</x:v>
      </x:c>
      <x:c r="G359" s="34" t="n">
        <x:v>1</x:v>
      </x:c>
      <x:c r="H359" s="34" t="n">
        <x:v>1</x:v>
      </x:c>
      <x:c r="I359" s="34" t="n">
        <x:v>0</x:v>
      </x:c>
      <x:c r="J359" t="str">
        <x:v>unchanged</x:v>
      </x:c>
      <x:c r="K359" t="n">
        <x:v>1</x:v>
      </x:c>
      <x:c r="L359" t="n">
        <x:v>1</x:v>
      </x:c>
      <x:c r="M359" t="n">
        <x:v>1</x:v>
      </x:c>
      <x:c r="N359" t="n">
        <x:v>1</x:v>
      </x:c>
    </x:row>
    <x:row r="360">
      <x:c r="A360" t="str">
        <x:v>a2_new_minus_old_on_old_a1</x:v>
      </x:c>
      <x:c r="B360" t="str">
        <x:v>rewrite_faithful</x:v>
      </x:c>
      <x:c r="C360" t="str">
        <x:f>"qid:743600309736467122"</x:f>
        <x:v>qid:743600309736467122</x:v>
      </x:c>
      <x:c r="D360" s="14" t="str">
        <x:v>When was on the revolutions of the heavenly spheres published?</x:v>
      </x:c>
      <x:c r="E360" t="str">
        <x:v>old_old</x:v>
      </x:c>
      <x:c r="F360" t="str">
        <x:v>old_new</x:v>
      </x:c>
      <x:c r="G360" s="34" t="n">
        <x:v>0</x:v>
      </x:c>
      <x:c r="H360" s="34" t="n">
        <x:v>0</x:v>
      </x:c>
      <x:c r="I360" s="34" t="n">
        <x:v>0</x:v>
      </x:c>
      <x:c r="J360" t="str">
        <x:v>unchanged</x:v>
      </x:c>
      <x:c r="K360" t="n">
        <x:v>0</x:v>
      </x:c>
      <x:c r="L360" t="n">
        <x:v>2</x:v>
      </x:c>
      <x:c r="M360" t="n">
        <x:v>0</x:v>
      </x:c>
      <x:c r="N360" t="n">
        <x:v>2</x:v>
      </x:c>
    </x:row>
    <x:row r="361">
      <x:c r="A361" t="str">
        <x:v>a2_new_minus_old_on_old_a1</x:v>
      </x:c>
      <x:c r="B361" t="str">
        <x:v>rewrite_faithful</x:v>
      </x:c>
      <x:c r="C361" t="str">
        <x:f>"qid:7797208395147217894"</x:f>
        <x:v>qid:7797208395147217894</x:v>
      </x:c>
      <x:c r="D361" s="14" t="str">
        <x:v>When did west germany win the world cup?</x:v>
      </x:c>
      <x:c r="E361" t="str">
        <x:v>old_old</x:v>
      </x:c>
      <x:c r="F361" t="str">
        <x:v>old_new</x:v>
      </x:c>
      <x:c r="G361" s="34" t="n">
        <x:v>0.5</x:v>
      </x:c>
      <x:c r="H361" s="34" t="n">
        <x:v>0.75</x:v>
      </x:c>
      <x:c r="I361" s="34" t="n">
        <x:v>0.25</x:v>
      </x:c>
      <x:c r="J361" t="str">
        <x:v>improved</x:v>
      </x:c>
      <x:c r="K361" t="n">
        <x:v>2</x:v>
      </x:c>
      <x:c r="L361" t="n">
        <x:v>4</x:v>
      </x:c>
      <x:c r="M361" t="n">
        <x:v>3</x:v>
      </x:c>
      <x:c r="N361" t="n">
        <x:v>4</x:v>
      </x:c>
    </x:row>
    <x:row r="362">
      <x:c r="A362" t="str">
        <x:v>a2_new_minus_old_on_old_a1</x:v>
      </x:c>
      <x:c r="B362" t="str">
        <x:v>rewrite_faithful</x:v>
      </x:c>
      <x:c r="C362" t="str">
        <x:f>"qid:8433533625736230886"</x:f>
        <x:v>qid:8433533625736230886</x:v>
      </x:c>
      <x:c r="D362" s="14" t="str">
        <x:v>Who has won the most trophies man utd or liverpool?</x:v>
      </x:c>
      <x:c r="E362" t="str">
        <x:v>old_old</x:v>
      </x:c>
      <x:c r="F362" t="str">
        <x:v>old_new</x:v>
      </x:c>
      <x:c r="G362" s="34" t="n">
        <x:v>1</x:v>
      </x:c>
      <x:c r="H362" s="34" t="n">
        <x:v>1</x:v>
      </x:c>
      <x:c r="I362" s="34" t="n">
        <x:v>0</x:v>
      </x:c>
      <x:c r="J362" t="str">
        <x:v>unchanged</x:v>
      </x:c>
      <x:c r="K362" t="n">
        <x:v>1</x:v>
      </x:c>
      <x:c r="L362" t="n">
        <x:v>1</x:v>
      </x:c>
      <x:c r="M362" t="n">
        <x:v>1</x:v>
      </x:c>
      <x:c r="N362" t="n">
        <x:v>1</x:v>
      </x:c>
    </x:row>
    <x:row r="363">
      <x:c r="A363" t="str">
        <x:v>a2_new_minus_old_on_old_a1</x:v>
      </x:c>
      <x:c r="B363" t="str">
        <x:v>rewrite_faithful</x:v>
      </x:c>
      <x:c r="C363" t="str">
        <x:f>"qid:8686216144939155905"</x:f>
        <x:v>qid:8686216144939155905</x:v>
      </x:c>
      <x:c r="D363" s="14" t="str">
        <x:v>What is the name of the time zone for london?</x:v>
      </x:c>
      <x:c r="E363" t="str">
        <x:v>old_old</x:v>
      </x:c>
      <x:c r="F363" t="str">
        <x:v>old_new</x:v>
      </x:c>
      <x:c r="G363" s="34" t="n">
        <x:v>1</x:v>
      </x:c>
      <x:c r="H363" s="34" t="n">
        <x:v>1</x:v>
      </x:c>
      <x:c r="I363" s="34" t="n">
        <x:v>0</x:v>
      </x:c>
      <x:c r="J363" t="str">
        <x:v>unchanged</x:v>
      </x:c>
      <x:c r="K363" t="n">
        <x:v>1</x:v>
      </x:c>
      <x:c r="L363" t="n">
        <x:v>1</x:v>
      </x:c>
      <x:c r="M363" t="n">
        <x:v>1</x:v>
      </x:c>
      <x:c r="N363" t="n">
        <x:v>1</x:v>
      </x:c>
    </x:row>
    <x:row r="364">
      <x:c r="A364" t="str">
        <x:v>a2_new_minus_old_on_old_a1</x:v>
      </x:c>
      <x:c r="B364" t="str">
        <x:v>rewrite_faithful</x:v>
      </x:c>
      <x:c r="C364" t="str">
        <x:f>"qid:87005427005915954"</x:f>
        <x:v>qid:87005427005915954</x:v>
      </x:c>
      <x:c r="D364" s="14" t="str">
        <x:v>When was the last time galway won the hurling all ireland?</x:v>
      </x:c>
      <x:c r="E364" t="str">
        <x:v>old_old</x:v>
      </x:c>
      <x:c r="F364" t="str">
        <x:v>old_new</x:v>
      </x:c>
      <x:c r="G364" s="34" t="n">
        <x:v>1</x:v>
      </x:c>
      <x:c r="H364" s="34" t="n">
        <x:v>1</x:v>
      </x:c>
      <x:c r="I364" s="34" t="n">
        <x:v>0</x:v>
      </x:c>
      <x:c r="J364" t="str">
        <x:v>unchanged</x:v>
      </x:c>
      <x:c r="K364" t="n">
        <x:v>1</x:v>
      </x:c>
      <x:c r="L364" t="n">
        <x:v>1</x:v>
      </x:c>
      <x:c r="M364" t="n">
        <x:v>1</x:v>
      </x:c>
      <x:c r="N364" t="n">
        <x:v>1</x:v>
      </x:c>
    </x:row>
    <x:row r="365">
      <x:c r="A365" t="str">
        <x:v>a2_new_minus_old_on_new_a1</x:v>
      </x:c>
      <x:c r="B365" t="str">
        <x:v>atomic</x:v>
      </x:c>
      <x:c r="C365" t="str">
        <x:f>"qid:-1062522255440685408"</x:f>
        <x:v>qid:-1062522255440685408</x:v>
      </x:c>
      <x:c r="D365" s="14" t="str">
        <x:v>When did the first generation kindle fire come out?</x:v>
      </x:c>
      <x:c r="E365" t="str">
        <x:v>new_old</x:v>
      </x:c>
      <x:c r="F365" t="str">
        <x:v>new_new</x:v>
      </x:c>
      <x:c r="G365" s="34" t="n">
        <x:v>1</x:v>
      </x:c>
      <x:c r="H365" s="34" t="n">
        <x:v>1</x:v>
      </x:c>
      <x:c r="I365" s="34" t="n">
        <x:v>0</x:v>
      </x:c>
      <x:c r="J365" t="str">
        <x:v>unchanged</x:v>
      </x:c>
      <x:c r="K365" t="n">
        <x:v>1</x:v>
      </x:c>
      <x:c r="L365" t="n">
        <x:v>1</x:v>
      </x:c>
      <x:c r="M365" t="n">
        <x:v>1</x:v>
      </x:c>
      <x:c r="N365" t="n">
        <x:v>1</x:v>
      </x:c>
    </x:row>
    <x:row r="366">
      <x:c r="A366" t="str">
        <x:v>a2_new_minus_old_on_new_a1</x:v>
      </x:c>
      <x:c r="B366" t="str">
        <x:v>atomic</x:v>
      </x:c>
      <x:c r="C366" t="str">
        <x:f>"qid:-1859261645300630518"</x:f>
        <x:v>qid:-1859261645300630518</x:v>
      </x:c>
      <x:c r="D366" s="14" t="str">
        <x:v>When does steve come back in shameless season 5?</x:v>
      </x:c>
      <x:c r="E366" t="str">
        <x:v>new_old</x:v>
      </x:c>
      <x:c r="F366" t="str">
        <x:v>new_new</x:v>
      </x:c>
      <x:c r="G366" s="34" t="n">
        <x:v>1</x:v>
      </x:c>
      <x:c r="H366" s="34" t="n">
        <x:v>1</x:v>
      </x:c>
      <x:c r="I366" s="34" t="n">
        <x:v>0</x:v>
      </x:c>
      <x:c r="J366" t="str">
        <x:v>unchanged</x:v>
      </x:c>
      <x:c r="K366" t="n">
        <x:v>2</x:v>
      </x:c>
      <x:c r="L366" t="n">
        <x:v>2</x:v>
      </x:c>
      <x:c r="M366" t="n">
        <x:v>2</x:v>
      </x:c>
      <x:c r="N366" t="n">
        <x:v>2</x:v>
      </x:c>
    </x:row>
    <x:row r="367">
      <x:c r="A367" t="str">
        <x:v>a2_new_minus_old_on_new_a1</x:v>
      </x:c>
      <x:c r="B367" t="str">
        <x:v>atomic</x:v>
      </x:c>
      <x:c r="C367" t="str">
        <x:f>"qid:-2585133819352441604"</x:f>
        <x:v>qid:-2585133819352441604</x:v>
      </x:c>
      <x:c r="D367" s="14" t="str">
        <x:v>Name of first episode of this is us?</x:v>
      </x:c>
      <x:c r="E367" t="str">
        <x:v>new_old</x:v>
      </x:c>
      <x:c r="F367" t="str">
        <x:v>new_new</x:v>
      </x:c>
      <x:c r="G367" s="34" t="n">
        <x:v>1</x:v>
      </x:c>
      <x:c r="H367" s="34" t="n">
        <x:v>1</x:v>
      </x:c>
      <x:c r="I367" s="34" t="n">
        <x:v>0</x:v>
      </x:c>
      <x:c r="J367" t="str">
        <x:v>unchanged</x:v>
      </x:c>
      <x:c r="K367" t="n">
        <x:v>1</x:v>
      </x:c>
      <x:c r="L367" t="n">
        <x:v>1</x:v>
      </x:c>
      <x:c r="M367" t="n">
        <x:v>1</x:v>
      </x:c>
      <x:c r="N367" t="n">
        <x:v>1</x:v>
      </x:c>
    </x:row>
    <x:row r="368">
      <x:c r="A368" t="str">
        <x:v>a2_new_minus_old_on_new_a1</x:v>
      </x:c>
      <x:c r="B368" t="str">
        <x:v>atomic</x:v>
      </x:c>
      <x:c r="C368" t="str">
        <x:f>"qid:-3228483207040151533"</x:f>
        <x:v>qid:-3228483207040151533</x:v>
      </x:c>
      <x:c r="D368" s="14" t="str">
        <x:v>What bodies of water surround cabo san lucas?</x:v>
      </x:c>
      <x:c r="E368" t="str">
        <x:v>new_old</x:v>
      </x:c>
      <x:c r="F368" t="str">
        <x:v>new_new</x:v>
      </x:c>
      <x:c r="G368" s="34" t="n">
        <x:v>1</x:v>
      </x:c>
      <x:c r="H368" s="34" t="n">
        <x:v>1</x:v>
      </x:c>
      <x:c r="I368" s="34" t="n">
        <x:v>0</x:v>
      </x:c>
      <x:c r="J368" t="str">
        <x:v>unchanged</x:v>
      </x:c>
      <x:c r="K368" t="n">
        <x:v>1</x:v>
      </x:c>
      <x:c r="L368" t="n">
        <x:v>1</x:v>
      </x:c>
      <x:c r="M368" t="n">
        <x:v>1</x:v>
      </x:c>
      <x:c r="N368" t="n">
        <x:v>1</x:v>
      </x:c>
    </x:row>
    <x:row r="369">
      <x:c r="A369" t="str">
        <x:v>a2_new_minus_old_on_new_a1</x:v>
      </x:c>
      <x:c r="B369" t="str">
        <x:v>atomic</x:v>
      </x:c>
      <x:c r="C369" t="str">
        <x:f>"qid:-3279585462082900736"</x:f>
        <x:v>qid:-3279585462082900736</x:v>
      </x:c>
      <x:c r="D369" s="14" t="str">
        <x:v>Who gets fired on grey's anatomy season 6?</x:v>
      </x:c>
      <x:c r="E369" t="str">
        <x:v>new_old</x:v>
      </x:c>
      <x:c r="F369" t="str">
        <x:v>new_new</x:v>
      </x:c>
      <x:c r="G369" s="34" t="n">
        <x:v>1</x:v>
      </x:c>
      <x:c r="H369" s="34" t="n">
        <x:v>1</x:v>
      </x:c>
      <x:c r="I369" s="34" t="n">
        <x:v>0</x:v>
      </x:c>
      <x:c r="J369" t="str">
        <x:v>unchanged</x:v>
      </x:c>
      <x:c r="K369" t="n">
        <x:v>1</x:v>
      </x:c>
      <x:c r="L369" t="n">
        <x:v>1</x:v>
      </x:c>
      <x:c r="M369" t="n">
        <x:v>1</x:v>
      </x:c>
      <x:c r="N369" t="n">
        <x:v>1</x:v>
      </x:c>
    </x:row>
    <x:row r="370">
      <x:c r="A370" t="str">
        <x:v>a2_new_minus_old_on_new_a1</x:v>
      </x:c>
      <x:c r="B370" t="str">
        <x:v>atomic</x:v>
      </x:c>
      <x:c r="C370" t="str">
        <x:f>"qid:-3344541168958463110"</x:f>
        <x:v>qid:-3344541168958463110</x:v>
      </x:c>
      <x:c r="D370" s="14" t="str">
        <x:v>Who fought with an angel in the bible?</x:v>
      </x:c>
      <x:c r="E370" t="str">
        <x:v>new_old</x:v>
      </x:c>
      <x:c r="F370" t="str">
        <x:v>new_new</x:v>
      </x:c>
      <x:c r="G370" s="34" t="n">
        <x:v>1</x:v>
      </x:c>
      <x:c r="H370" s="34" t="n">
        <x:v>1</x:v>
      </x:c>
      <x:c r="I370" s="34" t="n">
        <x:v>0</x:v>
      </x:c>
      <x:c r="J370" t="str">
        <x:v>unchanged</x:v>
      </x:c>
      <x:c r="K370" t="n">
        <x:v>1</x:v>
      </x:c>
      <x:c r="L370" t="n">
        <x:v>1</x:v>
      </x:c>
      <x:c r="M370" t="n">
        <x:v>1</x:v>
      </x:c>
      <x:c r="N370" t="n">
        <x:v>1</x:v>
      </x:c>
    </x:row>
    <x:row r="371">
      <x:c r="A371" t="str">
        <x:v>a2_new_minus_old_on_new_a1</x:v>
      </x:c>
      <x:c r="B371" t="str">
        <x:v>atomic</x:v>
      </x:c>
      <x:c r="C371" t="str">
        <x:f>"qid:-3904805932335139116"</x:f>
        <x:v>qid:-3904805932335139116</x:v>
      </x:c>
      <x:c r="D371" s="14" t="str">
        <x:v>What was the daughter's name on the jetsons?</x:v>
      </x:c>
      <x:c r="E371" t="str">
        <x:v>new_old</x:v>
      </x:c>
      <x:c r="F371" t="str">
        <x:v>new_new</x:v>
      </x:c>
      <x:c r="G371" s="34" t="n">
        <x:v>1</x:v>
      </x:c>
      <x:c r="H371" s="34" t="n">
        <x:v>1</x:v>
      </x:c>
      <x:c r="I371" s="34" t="n">
        <x:v>0</x:v>
      </x:c>
      <x:c r="J371" t="str">
        <x:v>unchanged</x:v>
      </x:c>
      <x:c r="K371" t="n">
        <x:v>1</x:v>
      </x:c>
      <x:c r="L371" t="n">
        <x:v>1</x:v>
      </x:c>
      <x:c r="M371" t="n">
        <x:v>1</x:v>
      </x:c>
      <x:c r="N371" t="n">
        <x:v>1</x:v>
      </x:c>
    </x:row>
    <x:row r="372">
      <x:c r="A372" t="str">
        <x:v>a2_new_minus_old_on_new_a1</x:v>
      </x:c>
      <x:c r="B372" t="str">
        <x:v>atomic</x:v>
      </x:c>
      <x:c r="C372" t="str">
        <x:f>"qid:-4286108617234818000"</x:f>
        <x:v>qid:-4286108617234818000</x:v>
      </x:c>
      <x:c r="D372" s="14" t="str">
        <x:v>When does the new super troopers movie come out?</x:v>
      </x:c>
      <x:c r="E372" t="str">
        <x:v>new_old</x:v>
      </x:c>
      <x:c r="F372" t="str">
        <x:v>new_new</x:v>
      </x:c>
      <x:c r="G372" s="34" t="n">
        <x:v>1</x:v>
      </x:c>
      <x:c r="H372" s="34" t="n">
        <x:v>1</x:v>
      </x:c>
      <x:c r="I372" s="34" t="n">
        <x:v>0</x:v>
      </x:c>
      <x:c r="J372" t="str">
        <x:v>unchanged</x:v>
      </x:c>
      <x:c r="K372" t="n">
        <x:v>3</x:v>
      </x:c>
      <x:c r="L372" t="n">
        <x:v>3</x:v>
      </x:c>
      <x:c r="M372" t="n">
        <x:v>3</x:v>
      </x:c>
      <x:c r="N372" t="n">
        <x:v>3</x:v>
      </x:c>
    </x:row>
    <x:row r="373">
      <x:c r="A373" t="str">
        <x:v>a2_new_minus_old_on_new_a1</x:v>
      </x:c>
      <x:c r="B373" t="str">
        <x:v>atomic</x:v>
      </x:c>
      <x:c r="C373" t="str">
        <x:f>"qid:-4456614433280196572"</x:f>
        <x:v>qid:-4456614433280196572</x:v>
      </x:c>
      <x:c r="D373" s="14" t="str">
        <x:v>What season does meredith and derek get married in grey's anatomy?</x:v>
      </x:c>
      <x:c r="E373" t="str">
        <x:v>new_old</x:v>
      </x:c>
      <x:c r="F373" t="str">
        <x:v>new_new</x:v>
      </x:c>
      <x:c r="G373" s="34" t="n">
        <x:v>1</x:v>
      </x:c>
      <x:c r="H373" s="34" t="n">
        <x:v>1</x:v>
      </x:c>
      <x:c r="I373" s="34" t="n">
        <x:v>0</x:v>
      </x:c>
      <x:c r="J373" t="str">
        <x:v>unchanged</x:v>
      </x:c>
      <x:c r="K373" t="n">
        <x:v>1</x:v>
      </x:c>
      <x:c r="L373" t="n">
        <x:v>1</x:v>
      </x:c>
      <x:c r="M373" t="n">
        <x:v>1</x:v>
      </x:c>
      <x:c r="N373" t="n">
        <x:v>1</x:v>
      </x:c>
    </x:row>
    <x:row r="374">
      <x:c r="A374" t="str">
        <x:v>a2_new_minus_old_on_new_a1</x:v>
      </x:c>
      <x:c r="B374" t="str">
        <x:v>atomic</x:v>
      </x:c>
      <x:c r="C374" t="str">
        <x:f>"qid:-447198893588059167"</x:f>
        <x:v>qid:-447198893588059167</x:v>
      </x:c>
      <x:c r="D374" s="14" t="str">
        <x:v>Who played the father in leave it to beaver?</x:v>
      </x:c>
      <x:c r="E374" t="str">
        <x:v>new_old</x:v>
      </x:c>
      <x:c r="F374" t="str">
        <x:v>new_new</x:v>
      </x:c>
      <x:c r="G374" s="34" t="n">
        <x:v>1</x:v>
      </x:c>
      <x:c r="H374" s="34" t="n">
        <x:v>1</x:v>
      </x:c>
      <x:c r="I374" s="34" t="n">
        <x:v>0</x:v>
      </x:c>
      <x:c r="J374" t="str">
        <x:v>unchanged</x:v>
      </x:c>
      <x:c r="K374" t="n">
        <x:v>1</x:v>
      </x:c>
      <x:c r="L374" t="n">
        <x:v>1</x:v>
      </x:c>
      <x:c r="M374" t="n">
        <x:v>1</x:v>
      </x:c>
      <x:c r="N374" t="n">
        <x:v>1</x:v>
      </x:c>
    </x:row>
    <x:row r="375">
      <x:c r="A375" t="str">
        <x:v>a2_new_minus_old_on_new_a1</x:v>
      </x:c>
      <x:c r="B375" t="str">
        <x:v>atomic</x:v>
      </x:c>
      <x:c r="C375" t="str">
        <x:f>"qid:-4649654703638364295"</x:f>
        <x:v>qid:-4649654703638364295</x:v>
      </x:c>
      <x:c r="D375" s="14" t="str">
        <x:v>Who made it through the divisional finals world of dance?</x:v>
      </x:c>
      <x:c r="E375" t="str">
        <x:v>new_old</x:v>
      </x:c>
      <x:c r="F375" t="str">
        <x:v>new_new</x:v>
      </x:c>
      <x:c r="G375" s="34" t="n">
        <x:v>1</x:v>
      </x:c>
      <x:c r="H375" s="34" t="n">
        <x:v>1</x:v>
      </x:c>
      <x:c r="I375" s="34" t="n">
        <x:v>0</x:v>
      </x:c>
      <x:c r="J375" t="str">
        <x:v>unchanged</x:v>
      </x:c>
      <x:c r="K375" t="n">
        <x:v>1</x:v>
      </x:c>
      <x:c r="L375" t="n">
        <x:v>1</x:v>
      </x:c>
      <x:c r="M375" t="n">
        <x:v>1</x:v>
      </x:c>
      <x:c r="N375" t="n">
        <x:v>1</x:v>
      </x:c>
    </x:row>
    <x:row r="376">
      <x:c r="A376" t="str">
        <x:v>a2_new_minus_old_on_new_a1</x:v>
      </x:c>
      <x:c r="B376" t="str">
        <x:v>atomic</x:v>
      </x:c>
      <x:c r="C376" t="str">
        <x:f>"qid:-4873786835306543030"</x:f>
        <x:v>qid:-4873786835306543030</x:v>
      </x:c>
      <x:c r="D376" s="14" t="str">
        <x:v>Who is the chief minister of m. p?</x:v>
      </x:c>
      <x:c r="E376" t="str">
        <x:v>new_old</x:v>
      </x:c>
      <x:c r="F376" t="str">
        <x:v>new_new</x:v>
      </x:c>
      <x:c r="G376" s="34" t="n">
        <x:v>1</x:v>
      </x:c>
      <x:c r="H376" s="34" t="n">
        <x:v>1</x:v>
      </x:c>
      <x:c r="I376" s="34" t="n">
        <x:v>0</x:v>
      </x:c>
      <x:c r="J376" t="str">
        <x:v>unchanged</x:v>
      </x:c>
      <x:c r="K376" t="n">
        <x:v>1</x:v>
      </x:c>
      <x:c r="L376" t="n">
        <x:v>1</x:v>
      </x:c>
      <x:c r="M376" t="n">
        <x:v>1</x:v>
      </x:c>
      <x:c r="N376" t="n">
        <x:v>1</x:v>
      </x:c>
    </x:row>
    <x:row r="377">
      <x:c r="A377" t="str">
        <x:v>a2_new_minus_old_on_new_a1</x:v>
      </x:c>
      <x:c r="B377" t="str">
        <x:v>atomic</x:v>
      </x:c>
      <x:c r="C377" t="str">
        <x:f>"qid:-4995398567532229571"</x:f>
        <x:v>qid:-4995398567532229571</x:v>
      </x:c>
      <x:c r="D377" s="14" t="str">
        <x:v>When did ragtime flourished in the united states?</x:v>
      </x:c>
      <x:c r="E377" t="str">
        <x:v>new_old</x:v>
      </x:c>
      <x:c r="F377" t="str">
        <x:v>new_new</x:v>
      </x:c>
      <x:c r="G377" s="34" t="n">
        <x:v>1</x:v>
      </x:c>
      <x:c r="H377" s="34" t="n">
        <x:v>1</x:v>
      </x:c>
      <x:c r="I377" s="34" t="n">
        <x:v>0</x:v>
      </x:c>
      <x:c r="J377" t="str">
        <x:v>unchanged</x:v>
      </x:c>
      <x:c r="K377" t="n">
        <x:v>1</x:v>
      </x:c>
      <x:c r="L377" t="n">
        <x:v>1</x:v>
      </x:c>
      <x:c r="M377" t="n">
        <x:v>1</x:v>
      </x:c>
      <x:c r="N377" t="n">
        <x:v>1</x:v>
      </x:c>
    </x:row>
    <x:row r="378">
      <x:c r="A378" t="str">
        <x:v>a2_new_minus_old_on_new_a1</x:v>
      </x:c>
      <x:c r="B378" t="str">
        <x:v>atomic</x:v>
      </x:c>
      <x:c r="C378" t="str">
        <x:f>"qid:-5036947181661390825"</x:f>
        <x:v>qid:-5036947181661390825</x:v>
      </x:c>
      <x:c r="D378" s="14" t="str">
        <x:v>When was the vietnam veterans war memorial built?</x:v>
      </x:c>
      <x:c r="E378" t="str">
        <x:v>new_old</x:v>
      </x:c>
      <x:c r="F378" t="str">
        <x:v>new_new</x:v>
      </x:c>
      <x:c r="G378" s="34" t="n">
        <x:v>1</x:v>
      </x:c>
      <x:c r="H378" s="34" t="n">
        <x:v>1</x:v>
      </x:c>
      <x:c r="I378" s="34" t="n">
        <x:v>0</x:v>
      </x:c>
      <x:c r="J378" t="str">
        <x:v>unchanged</x:v>
      </x:c>
      <x:c r="K378" t="n">
        <x:v>1</x:v>
      </x:c>
      <x:c r="L378" t="n">
        <x:v>1</x:v>
      </x:c>
      <x:c r="M378" t="n">
        <x:v>1</x:v>
      </x:c>
      <x:c r="N378" t="n">
        <x:v>1</x:v>
      </x:c>
    </x:row>
    <x:row r="379">
      <x:c r="A379" t="str">
        <x:v>a2_new_minus_old_on_new_a1</x:v>
      </x:c>
      <x:c r="B379" t="str">
        <x:v>atomic</x:v>
      </x:c>
      <x:c r="C379" t="str">
        <x:f>"qid:-5116644172939113883"</x:f>
        <x:v>qid:-5116644172939113883</x:v>
      </x:c>
      <x:c r="D379" s="14" t="str">
        <x:v>Who raps in the gorillaz song clint eastwood?</x:v>
      </x:c>
      <x:c r="E379" t="str">
        <x:v>new_old</x:v>
      </x:c>
      <x:c r="F379" t="str">
        <x:v>new_new</x:v>
      </x:c>
      <x:c r="G379" s="34" t="n">
        <x:v>1</x:v>
      </x:c>
      <x:c r="H379" s="34" t="n">
        <x:v>1</x:v>
      </x:c>
      <x:c r="I379" s="34" t="n">
        <x:v>0</x:v>
      </x:c>
      <x:c r="J379" t="str">
        <x:v>unchanged</x:v>
      </x:c>
      <x:c r="K379" t="n">
        <x:v>1</x:v>
      </x:c>
      <x:c r="L379" t="n">
        <x:v>1</x:v>
      </x:c>
      <x:c r="M379" t="n">
        <x:v>1</x:v>
      </x:c>
      <x:c r="N379" t="n">
        <x:v>1</x:v>
      </x:c>
    </x:row>
    <x:row r="380">
      <x:c r="A380" t="str">
        <x:v>a2_new_minus_old_on_new_a1</x:v>
      </x:c>
      <x:c r="B380" t="str">
        <x:v>atomic</x:v>
      </x:c>
      <x:c r="C380" t="str">
        <x:f>"qid:-5333049627570569397"</x:f>
        <x:v>qid:-5333049627570569397</x:v>
      </x:c>
      <x:c r="D380" s="14" t="str">
        <x:v>When did the song can't touch this come out?</x:v>
      </x:c>
      <x:c r="E380" t="str">
        <x:v>new_old</x:v>
      </x:c>
      <x:c r="F380" t="str">
        <x:v>new_new</x:v>
      </x:c>
      <x:c r="G380" s="34" t="n">
        <x:v>1</x:v>
      </x:c>
      <x:c r="H380" s="34" t="n">
        <x:v>1</x:v>
      </x:c>
      <x:c r="I380" s="34" t="n">
        <x:v>0</x:v>
      </x:c>
      <x:c r="J380" t="str">
        <x:v>unchanged</x:v>
      </x:c>
      <x:c r="K380" t="n">
        <x:v>1</x:v>
      </x:c>
      <x:c r="L380" t="n">
        <x:v>1</x:v>
      </x:c>
      <x:c r="M380" t="n">
        <x:v>1</x:v>
      </x:c>
      <x:c r="N380" t="n">
        <x:v>1</x:v>
      </x:c>
    </x:row>
    <x:row r="381">
      <x:c r="A381" t="str">
        <x:v>a2_new_minus_old_on_new_a1</x:v>
      </x:c>
      <x:c r="B381" t="str">
        <x:v>atomic</x:v>
      </x:c>
      <x:c r="C381" t="str">
        <x:f>"qid:-5564120845047915486"</x:f>
        <x:v>qid:-5564120845047915486</x:v>
      </x:c>
      <x:c r="D381" s="14" t="str">
        <x:v>Where do you find a simple gear train?</x:v>
      </x:c>
      <x:c r="E381" t="str">
        <x:v>new_old</x:v>
      </x:c>
      <x:c r="F381" t="str">
        <x:v>new_new</x:v>
      </x:c>
      <x:c r="G381" s="34" t="n">
        <x:v>1</x:v>
      </x:c>
      <x:c r="H381" s="34" t="n">
        <x:v>1</x:v>
      </x:c>
      <x:c r="I381" s="34" t="n">
        <x:v>0</x:v>
      </x:c>
      <x:c r="J381" t="str">
        <x:v>unchanged</x:v>
      </x:c>
      <x:c r="K381" t="n">
        <x:v>1</x:v>
      </x:c>
      <x:c r="L381" t="n">
        <x:v>1</x:v>
      </x:c>
      <x:c r="M381" t="n">
        <x:v>1</x:v>
      </x:c>
      <x:c r="N381" t="n">
        <x:v>1</x:v>
      </x:c>
    </x:row>
    <x:row r="382">
      <x:c r="A382" t="str">
        <x:v>a2_new_minus_old_on_new_a1</x:v>
      </x:c>
      <x:c r="B382" t="str">
        <x:v>atomic</x:v>
      </x:c>
      <x:c r="C382" t="str">
        <x:f>"qid:-5842265707961388968"</x:f>
        <x:v>qid:-5842265707961388968</x:v>
      </x:c>
      <x:c r="D382" s="14" t="str">
        <x:v>Who beat villanova last year in the ncaa tournament?</x:v>
      </x:c>
      <x:c r="E382" t="str">
        <x:v>new_old</x:v>
      </x:c>
      <x:c r="F382" t="str">
        <x:v>new_new</x:v>
      </x:c>
      <x:c r="G382" s="34" t="n">
        <x:v>1</x:v>
      </x:c>
      <x:c r="H382" s="34" t="n">
        <x:v>1</x:v>
      </x:c>
      <x:c r="I382" s="34" t="n">
        <x:v>0</x:v>
      </x:c>
      <x:c r="J382" t="str">
        <x:v>unchanged</x:v>
      </x:c>
      <x:c r="K382" t="n">
        <x:v>1</x:v>
      </x:c>
      <x:c r="L382" t="n">
        <x:v>1</x:v>
      </x:c>
      <x:c r="M382" t="n">
        <x:v>1</x:v>
      </x:c>
      <x:c r="N382" t="n">
        <x:v>1</x:v>
      </x:c>
    </x:row>
    <x:row r="383">
      <x:c r="A383" t="str">
        <x:v>a2_new_minus_old_on_new_a1</x:v>
      </x:c>
      <x:c r="B383" t="str">
        <x:v>atomic</x:v>
      </x:c>
      <x:c r="C383" t="str">
        <x:f>"qid:-5942352520455511076"</x:f>
        <x:v>qid:-5942352520455511076</x:v>
      </x:c>
      <x:c r="D383" s="14" t="str">
        <x:v>Where can adipose tissue be found in the body?</x:v>
      </x:c>
      <x:c r="E383" t="str">
        <x:v>new_old</x:v>
      </x:c>
      <x:c r="F383" t="str">
        <x:v>new_new</x:v>
      </x:c>
      <x:c r="G383" s="34" t="n">
        <x:v>1</x:v>
      </x:c>
      <x:c r="H383" s="34" t="n">
        <x:v>1</x:v>
      </x:c>
      <x:c r="I383" s="34" t="n">
        <x:v>0</x:v>
      </x:c>
      <x:c r="J383" t="str">
        <x:v>unchanged</x:v>
      </x:c>
      <x:c r="K383" t="n">
        <x:v>2</x:v>
      </x:c>
      <x:c r="L383" t="n">
        <x:v>2</x:v>
      </x:c>
      <x:c r="M383" t="n">
        <x:v>5</x:v>
      </x:c>
      <x:c r="N383" t="n">
        <x:v>5</x:v>
      </x:c>
    </x:row>
    <x:row r="384">
      <x:c r="A384" t="str">
        <x:v>a2_new_minus_old_on_new_a1</x:v>
      </x:c>
      <x:c r="B384" t="str">
        <x:v>atomic</x:v>
      </x:c>
      <x:c r="C384" t="str">
        <x:f>"qid:-62521546794442829"</x:f>
        <x:v>qid:-62521546794442829</x:v>
      </x:c>
      <x:c r="D384" s="14" t="str">
        <x:v>For whom was the battle of king's mountain a victory?</x:v>
      </x:c>
      <x:c r="E384" t="str">
        <x:v>new_old</x:v>
      </x:c>
      <x:c r="F384" t="str">
        <x:v>new_new</x:v>
      </x:c>
      <x:c r="G384" s="34" t="n">
        <x:v>1</x:v>
      </x:c>
      <x:c r="H384" s="34" t="n">
        <x:v>1</x:v>
      </x:c>
      <x:c r="I384" s="34" t="n">
        <x:v>0</x:v>
      </x:c>
      <x:c r="J384" t="str">
        <x:v>unchanged</x:v>
      </x:c>
      <x:c r="K384" t="n">
        <x:v>1</x:v>
      </x:c>
      <x:c r="L384" t="n">
        <x:v>1</x:v>
      </x:c>
      <x:c r="M384" t="n">
        <x:v>1</x:v>
      </x:c>
      <x:c r="N384" t="n">
        <x:v>1</x:v>
      </x:c>
    </x:row>
    <x:row r="385">
      <x:c r="A385" t="str">
        <x:v>a2_new_minus_old_on_new_a1</x:v>
      </x:c>
      <x:c r="B385" t="str">
        <x:v>atomic</x:v>
      </x:c>
      <x:c r="C385" t="str">
        <x:f>"qid:-6702031255040326279"</x:f>
        <x:v>qid:-6702031255040326279</x:v>
      </x:c>
      <x:c r="D385" s="14" t="str">
        <x:v>Which of the animal is a carrier of h1n1?</x:v>
      </x:c>
      <x:c r="E385" t="str">
        <x:v>new_old</x:v>
      </x:c>
      <x:c r="F385" t="str">
        <x:v>new_new</x:v>
      </x:c>
      <x:c r="G385" s="34" t="n">
        <x:v>1</x:v>
      </x:c>
      <x:c r="H385" s="34" t="n">
        <x:v>1</x:v>
      </x:c>
      <x:c r="I385" s="34" t="n">
        <x:v>0</x:v>
      </x:c>
      <x:c r="J385" t="str">
        <x:v>unchanged</x:v>
      </x:c>
      <x:c r="K385" t="n">
        <x:v>1</x:v>
      </x:c>
      <x:c r="L385" t="n">
        <x:v>1</x:v>
      </x:c>
      <x:c r="M385" t="n">
        <x:v>1</x:v>
      </x:c>
      <x:c r="N385" t="n">
        <x:v>1</x:v>
      </x:c>
    </x:row>
    <x:row r="386">
      <x:c r="A386" t="str">
        <x:v>a2_new_minus_old_on_new_a1</x:v>
      </x:c>
      <x:c r="B386" t="str">
        <x:v>atomic</x:v>
      </x:c>
      <x:c r="C386" t="str">
        <x:f>"qid:-728189424752983312"</x:f>
        <x:v>qid:-728189424752983312</x:v>
      </x:c>
      <x:c r="D386" s="14" t="str">
        <x:v>Where did the term bye felicia come from?</x:v>
      </x:c>
      <x:c r="E386" t="str">
        <x:v>new_old</x:v>
      </x:c>
      <x:c r="F386" t="str">
        <x:v>new_new</x:v>
      </x:c>
      <x:c r="G386" s="34" t="n">
        <x:v>1</x:v>
      </x:c>
      <x:c r="H386" s="34" t="n">
        <x:v>1</x:v>
      </x:c>
      <x:c r="I386" s="34" t="n">
        <x:v>0</x:v>
      </x:c>
      <x:c r="J386" t="str">
        <x:v>unchanged</x:v>
      </x:c>
      <x:c r="K386" t="n">
        <x:v>1</x:v>
      </x:c>
      <x:c r="L386" t="n">
        <x:v>1</x:v>
      </x:c>
      <x:c r="M386" t="n">
        <x:v>1</x:v>
      </x:c>
      <x:c r="N386" t="n">
        <x:v>1</x:v>
      </x:c>
    </x:row>
    <x:row r="387">
      <x:c r="A387" t="str">
        <x:v>a2_new_minus_old_on_new_a1</x:v>
      </x:c>
      <x:c r="B387" t="str">
        <x:v>atomic</x:v>
      </x:c>
      <x:c r="C387" t="str">
        <x:f>"qid:-7699606393193219666"</x:f>
        <x:v>qid:-7699606393193219666</x:v>
      </x:c>
      <x:c r="D387" s="14" t="str">
        <x:v>Who played cowboy curtis on pee wee herman?</x:v>
      </x:c>
      <x:c r="E387" t="str">
        <x:v>new_old</x:v>
      </x:c>
      <x:c r="F387" t="str">
        <x:v>new_new</x:v>
      </x:c>
      <x:c r="G387" s="34" t="n">
        <x:v>1</x:v>
      </x:c>
      <x:c r="H387" s="34" t="n">
        <x:v>1</x:v>
      </x:c>
      <x:c r="I387" s="34" t="n">
        <x:v>0</x:v>
      </x:c>
      <x:c r="J387" t="str">
        <x:v>unchanged</x:v>
      </x:c>
      <x:c r="K387" t="n">
        <x:v>1</x:v>
      </x:c>
      <x:c r="L387" t="n">
        <x:v>1</x:v>
      </x:c>
      <x:c r="M387" t="n">
        <x:v>1</x:v>
      </x:c>
      <x:c r="N387" t="n">
        <x:v>1</x:v>
      </x:c>
    </x:row>
    <x:row r="388">
      <x:c r="A388" t="str">
        <x:v>a2_new_minus_old_on_new_a1</x:v>
      </x:c>
      <x:c r="B388" t="str">
        <x:v>atomic</x:v>
      </x:c>
      <x:c r="C388" t="str">
        <x:f>"qid:-7824075627194227170"</x:f>
        <x:v>qid:-7824075627194227170</x:v>
      </x:c>
      <x:c r="D388" s="14" t="str">
        <x:v>When was the commission fir sc/st established?</x:v>
      </x:c>
      <x:c r="E388" t="str">
        <x:v>new_old</x:v>
      </x:c>
      <x:c r="F388" t="str">
        <x:v>new_new</x:v>
      </x:c>
      <x:c r="G388" s="34" t="n">
        <x:v>1</x:v>
      </x:c>
      <x:c r="H388" s="34" t="n">
        <x:v>1</x:v>
      </x:c>
      <x:c r="I388" s="34" t="n">
        <x:v>0</x:v>
      </x:c>
      <x:c r="J388" t="str">
        <x:v>unchanged</x:v>
      </x:c>
      <x:c r="K388" t="n">
        <x:v>1</x:v>
      </x:c>
      <x:c r="L388" t="n">
        <x:v>1</x:v>
      </x:c>
      <x:c r="M388" t="n">
        <x:v>1</x:v>
      </x:c>
      <x:c r="N388" t="n">
        <x:v>1</x:v>
      </x:c>
    </x:row>
    <x:row r="389">
      <x:c r="A389" t="str">
        <x:v>a2_new_minus_old_on_new_a1</x:v>
      </x:c>
      <x:c r="B389" t="str">
        <x:v>atomic</x:v>
      </x:c>
      <x:c r="C389" t="str">
        <x:f>"qid:-8286966211355378010"</x:f>
        <x:v>qid:-8286966211355378010</x:v>
      </x:c>
      <x:c r="D389" s="14" t="str">
        <x:v>What is the objective of tour de france?</x:v>
      </x:c>
      <x:c r="E389" t="str">
        <x:v>new_old</x:v>
      </x:c>
      <x:c r="F389" t="str">
        <x:v>new_new</x:v>
      </x:c>
      <x:c r="G389" s="34" t="n">
        <x:v>1</x:v>
      </x:c>
      <x:c r="H389" s="34" t="n">
        <x:v>1</x:v>
      </x:c>
      <x:c r="I389" s="34" t="n">
        <x:v>0</x:v>
      </x:c>
      <x:c r="J389" t="str">
        <x:v>unchanged</x:v>
      </x:c>
      <x:c r="K389" t="n">
        <x:v>3</x:v>
      </x:c>
      <x:c r="L389" t="n">
        <x:v>3</x:v>
      </x:c>
      <x:c r="M389" t="n">
        <x:v>3</x:v>
      </x:c>
      <x:c r="N389" t="n">
        <x:v>3</x:v>
      </x:c>
    </x:row>
    <x:row r="390">
      <x:c r="A390" t="str">
        <x:v>a2_new_minus_old_on_new_a1</x:v>
      </x:c>
      <x:c r="B390" t="str">
        <x:v>atomic</x:v>
      </x:c>
      <x:c r="C390" t="str">
        <x:f>"qid:-99543908387769967"</x:f>
        <x:v>qid:-99543908387769967</x:v>
      </x:c>
      <x:c r="D390" s="14" t="str">
        <x:v>Who does sansa marry on game of thrones?</x:v>
      </x:c>
      <x:c r="E390" t="str">
        <x:v>new_old</x:v>
      </x:c>
      <x:c r="F390" t="str">
        <x:v>new_new</x:v>
      </x:c>
      <x:c r="G390" s="34" t="n">
        <x:v>1</x:v>
      </x:c>
      <x:c r="H390" s="34" t="n">
        <x:v>1</x:v>
      </x:c>
      <x:c r="I390" s="34" t="n">
        <x:v>0</x:v>
      </x:c>
      <x:c r="J390" t="str">
        <x:v>unchanged</x:v>
      </x:c>
      <x:c r="K390" t="n">
        <x:v>1</x:v>
      </x:c>
      <x:c r="L390" t="n">
        <x:v>1</x:v>
      </x:c>
      <x:c r="M390" t="n">
        <x:v>1</x:v>
      </x:c>
      <x:c r="N390" t="n">
        <x:v>1</x:v>
      </x:c>
    </x:row>
    <x:row r="391">
      <x:c r="A391" t="str">
        <x:v>a2_new_minus_old_on_new_a1</x:v>
      </x:c>
      <x:c r="B391" t="str">
        <x:v>atomic</x:v>
      </x:c>
      <x:c r="C391" t="str">
        <x:f>"qid:16881061444712536"</x:f>
        <x:v>qid:16881061444712536</x:v>
      </x:c>
      <x:c r="D391" s="14" t="str">
        <x:v>Where does the amazon river start and finish?</x:v>
      </x:c>
      <x:c r="E391" t="str">
        <x:v>new_old</x:v>
      </x:c>
      <x:c r="F391" t="str">
        <x:v>new_new</x:v>
      </x:c>
      <x:c r="G391" s="34" t="n">
        <x:v>1</x:v>
      </x:c>
      <x:c r="H391" s="34" t="n">
        <x:v>1</x:v>
      </x:c>
      <x:c r="I391" s="34" t="n">
        <x:v>0</x:v>
      </x:c>
      <x:c r="J391" t="str">
        <x:v>unchanged</x:v>
      </x:c>
      <x:c r="K391" t="n">
        <x:v>2</x:v>
      </x:c>
      <x:c r="L391" t="n">
        <x:v>2</x:v>
      </x:c>
      <x:c r="M391" t="n">
        <x:v>2</x:v>
      </x:c>
      <x:c r="N391" t="n">
        <x:v>2</x:v>
      </x:c>
    </x:row>
    <x:row r="392">
      <x:c r="A392" t="str">
        <x:v>a2_new_minus_old_on_new_a1</x:v>
      </x:c>
      <x:c r="B392" t="str">
        <x:v>atomic</x:v>
      </x:c>
      <x:c r="C392" t="str">
        <x:f>"qid:1763163294931046731"</x:f>
        <x:v>qid:1763163294931046731</x:v>
      </x:c>
      <x:c r="D392" s="14" t="str">
        <x:v>Who played violet rutherford on leave it to beaver?</x:v>
      </x:c>
      <x:c r="E392" t="str">
        <x:v>new_old</x:v>
      </x:c>
      <x:c r="F392" t="str">
        <x:v>new_new</x:v>
      </x:c>
      <x:c r="G392" s="34" t="n">
        <x:v>1</x:v>
      </x:c>
      <x:c r="H392" s="34" t="n">
        <x:v>1</x:v>
      </x:c>
      <x:c r="I392" s="34" t="n">
        <x:v>0</x:v>
      </x:c>
      <x:c r="J392" t="str">
        <x:v>unchanged</x:v>
      </x:c>
      <x:c r="K392" t="n">
        <x:v>1</x:v>
      </x:c>
      <x:c r="L392" t="n">
        <x:v>1</x:v>
      </x:c>
      <x:c r="M392" t="n">
        <x:v>1</x:v>
      </x:c>
      <x:c r="N392" t="n">
        <x:v>1</x:v>
      </x:c>
    </x:row>
    <x:row r="393">
      <x:c r="A393" t="str">
        <x:v>a2_new_minus_old_on_new_a1</x:v>
      </x:c>
      <x:c r="B393" t="str">
        <x:v>atomic</x:v>
      </x:c>
      <x:c r="C393" t="str">
        <x:f>"qid:2221044921312683785"</x:f>
        <x:v>qid:2221044921312683785</x:v>
      </x:c>
      <x:c r="D393" s="14" t="str">
        <x:v>When did the apple tv 4k come out?</x:v>
      </x:c>
      <x:c r="E393" t="str">
        <x:v>new_old</x:v>
      </x:c>
      <x:c r="F393" t="str">
        <x:v>new_new</x:v>
      </x:c>
      <x:c r="G393" s="34" t="n">
        <x:v>1</x:v>
      </x:c>
      <x:c r="H393" s="34" t="n">
        <x:v>1</x:v>
      </x:c>
      <x:c r="I393" s="34" t="n">
        <x:v>0</x:v>
      </x:c>
      <x:c r="J393" t="str">
        <x:v>unchanged</x:v>
      </x:c>
      <x:c r="K393" t="n">
        <x:v>1</x:v>
      </x:c>
      <x:c r="L393" t="n">
        <x:v>1</x:v>
      </x:c>
      <x:c r="M393" t="n">
        <x:v>1</x:v>
      </x:c>
      <x:c r="N393" t="n">
        <x:v>1</x:v>
      </x:c>
    </x:row>
    <x:row r="394">
      <x:c r="A394" t="str">
        <x:v>a2_new_minus_old_on_new_a1</x:v>
      </x:c>
      <x:c r="B394" t="str">
        <x:v>atomic</x:v>
      </x:c>
      <x:c r="C394" t="str">
        <x:f>"qid:2469112227919120438"</x:f>
        <x:v>qid:2469112227919120438</x:v>
      </x:c>
      <x:c r="D394" s="14" t="str">
        <x:v>The creation of the senate was based on the?</x:v>
      </x:c>
      <x:c r="E394" t="str">
        <x:v>new_old</x:v>
      </x:c>
      <x:c r="F394" t="str">
        <x:v>new_new</x:v>
      </x:c>
      <x:c r="G394" s="34" t="n">
        <x:v>1</x:v>
      </x:c>
      <x:c r="H394" s="34" t="n">
        <x:v>1</x:v>
      </x:c>
      <x:c r="I394" s="34" t="n">
        <x:v>0</x:v>
      </x:c>
      <x:c r="J394" t="str">
        <x:v>unchanged</x:v>
      </x:c>
      <x:c r="K394" t="n">
        <x:v>1</x:v>
      </x:c>
      <x:c r="L394" t="n">
        <x:v>1</x:v>
      </x:c>
      <x:c r="M394" t="n">
        <x:v>1</x:v>
      </x:c>
      <x:c r="N394" t="n">
        <x:v>1</x:v>
      </x:c>
    </x:row>
    <x:row r="395">
      <x:c r="A395" t="str">
        <x:v>a2_new_minus_old_on_new_a1</x:v>
      </x:c>
      <x:c r="B395" t="str">
        <x:v>atomic</x:v>
      </x:c>
      <x:c r="C395" t="str">
        <x:f>"qid:3605104154738105404"</x:f>
        <x:v>qid:3605104154738105404</x:v>
      </x:c>
      <x:c r="D395" s="14" t="str">
        <x:v>What episode does jason gideon die in criminal minds?</x:v>
      </x:c>
      <x:c r="E395" t="str">
        <x:v>new_old</x:v>
      </x:c>
      <x:c r="F395" t="str">
        <x:v>new_new</x:v>
      </x:c>
      <x:c r="G395" s="34" t="n">
        <x:v>1</x:v>
      </x:c>
      <x:c r="H395" s="34" t="n">
        <x:v>1</x:v>
      </x:c>
      <x:c r="I395" s="34" t="n">
        <x:v>0</x:v>
      </x:c>
      <x:c r="J395" t="str">
        <x:v>unchanged</x:v>
      </x:c>
      <x:c r="K395" t="n">
        <x:v>1</x:v>
      </x:c>
      <x:c r="L395" t="n">
        <x:v>1</x:v>
      </x:c>
      <x:c r="M395" t="n">
        <x:v>1</x:v>
      </x:c>
      <x:c r="N395" t="n">
        <x:v>1</x:v>
      </x:c>
    </x:row>
    <x:row r="396">
      <x:c r="A396" t="str">
        <x:v>a2_new_minus_old_on_new_a1</x:v>
      </x:c>
      <x:c r="B396" t="str">
        <x:v>atomic</x:v>
      </x:c>
      <x:c r="C396" t="str">
        <x:f>"qid:3643093465010420057"</x:f>
        <x:v>qid:3643093465010420057</x:v>
      </x:c>
      <x:c r="D396" s="14" t="str">
        <x:v>What city in texas has the highest elevation?</x:v>
      </x:c>
      <x:c r="E396" t="str">
        <x:v>new_old</x:v>
      </x:c>
      <x:c r="F396" t="str">
        <x:v>new_new</x:v>
      </x:c>
      <x:c r="G396" s="34" t="n">
        <x:v>1</x:v>
      </x:c>
      <x:c r="H396" s="34" t="n">
        <x:v>1</x:v>
      </x:c>
      <x:c r="I396" s="34" t="n">
        <x:v>0</x:v>
      </x:c>
      <x:c r="J396" t="str">
        <x:v>unchanged</x:v>
      </x:c>
      <x:c r="K396" t="n">
        <x:v>2</x:v>
      </x:c>
      <x:c r="L396" t="n">
        <x:v>2</x:v>
      </x:c>
      <x:c r="M396" t="n">
        <x:v>2</x:v>
      </x:c>
      <x:c r="N396" t="n">
        <x:v>2</x:v>
      </x:c>
    </x:row>
    <x:row r="397">
      <x:c r="A397" t="str">
        <x:v>a2_new_minus_old_on_new_a1</x:v>
      </x:c>
      <x:c r="B397" t="str">
        <x:v>atomic</x:v>
      </x:c>
      <x:c r="C397" t="str">
        <x:f>"qid:4150448921344430432"</x:f>
        <x:v>qid:4150448921344430432</x:v>
      </x:c>
      <x:c r="D397" s="14" t="str">
        <x:v>Who were the original twins in everybody loves raymond?</x:v>
      </x:c>
      <x:c r="E397" t="str">
        <x:v>new_old</x:v>
      </x:c>
      <x:c r="F397" t="str">
        <x:v>new_new</x:v>
      </x:c>
      <x:c r="G397" s="34" t="n">
        <x:v>1</x:v>
      </x:c>
      <x:c r="H397" s="34" t="n">
        <x:v>1</x:v>
      </x:c>
      <x:c r="I397" s="34" t="n">
        <x:v>0</x:v>
      </x:c>
      <x:c r="J397" t="str">
        <x:v>unchanged</x:v>
      </x:c>
      <x:c r="K397" t="n">
        <x:v>1</x:v>
      </x:c>
      <x:c r="L397" t="n">
        <x:v>1</x:v>
      </x:c>
      <x:c r="M397" t="n">
        <x:v>1</x:v>
      </x:c>
      <x:c r="N397" t="n">
        <x:v>1</x:v>
      </x:c>
    </x:row>
    <x:row r="398">
      <x:c r="A398" t="str">
        <x:v>a2_new_minus_old_on_new_a1</x:v>
      </x:c>
      <x:c r="B398" t="str">
        <x:v>atomic</x:v>
      </x:c>
      <x:c r="C398" t="str">
        <x:f>"qid:4183252176965080529"</x:f>
        <x:v>qid:4183252176965080529</x:v>
      </x:c>
      <x:c r="D398" s="14" t="str">
        <x:v>When does the new independence day come out?</x:v>
      </x:c>
      <x:c r="E398" t="str">
        <x:v>new_old</x:v>
      </x:c>
      <x:c r="F398" t="str">
        <x:v>new_new</x:v>
      </x:c>
      <x:c r="G398" s="34" t="n">
        <x:v>1</x:v>
      </x:c>
      <x:c r="H398" s="34" t="n">
        <x:v>1</x:v>
      </x:c>
      <x:c r="I398" s="34" t="n">
        <x:v>0</x:v>
      </x:c>
      <x:c r="J398" t="str">
        <x:v>unchanged</x:v>
      </x:c>
      <x:c r="K398" t="n">
        <x:v>1</x:v>
      </x:c>
      <x:c r="L398" t="n">
        <x:v>1</x:v>
      </x:c>
      <x:c r="M398" t="n">
        <x:v>1</x:v>
      </x:c>
      <x:c r="N398" t="n">
        <x:v>1</x:v>
      </x:c>
    </x:row>
    <x:row r="399">
      <x:c r="A399" t="str">
        <x:v>a2_new_minus_old_on_new_a1</x:v>
      </x:c>
      <x:c r="B399" t="str">
        <x:v>atomic</x:v>
      </x:c>
      <x:c r="C399" t="str">
        <x:f>"qid:4474597907223412132"</x:f>
        <x:v>qid:4474597907223412132</x:v>
      </x:c>
      <x:c r="D399" s="14" t="str">
        <x:v>Who were the two astronauts who stayed a year on the iss?</x:v>
      </x:c>
      <x:c r="E399" t="str">
        <x:v>new_old</x:v>
      </x:c>
      <x:c r="F399" t="str">
        <x:v>new_new</x:v>
      </x:c>
      <x:c r="G399" s="34" t="n">
        <x:v>1</x:v>
      </x:c>
      <x:c r="H399" s="34" t="n">
        <x:v>1</x:v>
      </x:c>
      <x:c r="I399" s="34" t="n">
        <x:v>0</x:v>
      </x:c>
      <x:c r="J399" t="str">
        <x:v>unchanged</x:v>
      </x:c>
      <x:c r="K399" t="n">
        <x:v>1</x:v>
      </x:c>
      <x:c r="L399" t="n">
        <x:v>1</x:v>
      </x:c>
      <x:c r="M399" t="n">
        <x:v>1</x:v>
      </x:c>
      <x:c r="N399" t="n">
        <x:v>1</x:v>
      </x:c>
    </x:row>
    <x:row r="400">
      <x:c r="A400" t="str">
        <x:v>a2_new_minus_old_on_new_a1</x:v>
      </x:c>
      <x:c r="B400" t="str">
        <x:v>atomic</x:v>
      </x:c>
      <x:c r="C400" t="str">
        <x:f>"qid:586233275728240023"</x:f>
        <x:v>qid:586233275728240023</x:v>
      </x:c>
      <x:c r="D400" s="14" t="str">
        <x:v>What is the os of samsung smart tv?</x:v>
      </x:c>
      <x:c r="E400" t="str">
        <x:v>new_old</x:v>
      </x:c>
      <x:c r="F400" t="str">
        <x:v>new_new</x:v>
      </x:c>
      <x:c r="G400" s="34" t="n">
        <x:v>1</x:v>
      </x:c>
      <x:c r="H400" s="34" t="n">
        <x:v>1</x:v>
      </x:c>
      <x:c r="I400" s="34" t="n">
        <x:v>0</x:v>
      </x:c>
      <x:c r="J400" t="str">
        <x:v>unchanged</x:v>
      </x:c>
      <x:c r="K400" t="n">
        <x:v>1</x:v>
      </x:c>
      <x:c r="L400" t="n">
        <x:v>1</x:v>
      </x:c>
      <x:c r="M400" t="n">
        <x:v>1</x:v>
      </x:c>
      <x:c r="N400" t="n">
        <x:v>1</x:v>
      </x:c>
    </x:row>
    <x:row r="401">
      <x:c r="A401" t="str">
        <x:v>a2_new_minus_old_on_new_a1</x:v>
      </x:c>
      <x:c r="B401" t="str">
        <x:v>atomic</x:v>
      </x:c>
      <x:c r="C401" t="str">
        <x:f>"qid:6257465985316109835"</x:f>
        <x:v>qid:6257465985316109835</x:v>
      </x:c>
      <x:c r="D401" s="14" t="str">
        <x:v>Who is the main character in liv and maddie?</x:v>
      </x:c>
      <x:c r="E401" t="str">
        <x:v>new_old</x:v>
      </x:c>
      <x:c r="F401" t="str">
        <x:v>new_new</x:v>
      </x:c>
      <x:c r="G401" s="34" t="n">
        <x:v>1</x:v>
      </x:c>
      <x:c r="H401" s="34" t="n">
        <x:v>1</x:v>
      </x:c>
      <x:c r="I401" s="34" t="n">
        <x:v>0</x:v>
      </x:c>
      <x:c r="J401" t="str">
        <x:v>unchanged</x:v>
      </x:c>
      <x:c r="K401" t="n">
        <x:v>1</x:v>
      </x:c>
      <x:c r="L401" t="n">
        <x:v>1</x:v>
      </x:c>
      <x:c r="M401" t="n">
        <x:v>1</x:v>
      </x:c>
      <x:c r="N401" t="n">
        <x:v>1</x:v>
      </x:c>
    </x:row>
    <x:row r="402">
      <x:c r="A402" t="str">
        <x:v>a2_new_minus_old_on_new_a1</x:v>
      </x:c>
      <x:c r="B402" t="str">
        <x:v>atomic</x:v>
      </x:c>
      <x:c r="C402" t="str">
        <x:f>"qid:6514531923811923780"</x:f>
        <x:v>qid:6514531923811923780</x:v>
      </x:c>
      <x:c r="D402" s="14" t="str">
        <x:v>When does disney's food and wine festival end?</x:v>
      </x:c>
      <x:c r="E402" t="str">
        <x:v>new_old</x:v>
      </x:c>
      <x:c r="F402" t="str">
        <x:v>new_new</x:v>
      </x:c>
      <x:c r="G402" s="34" t="n">
        <x:v>1</x:v>
      </x:c>
      <x:c r="H402" s="34" t="n">
        <x:v>1</x:v>
      </x:c>
      <x:c r="I402" s="34" t="n">
        <x:v>0</x:v>
      </x:c>
      <x:c r="J402" t="str">
        <x:v>unchanged</x:v>
      </x:c>
      <x:c r="K402" t="n">
        <x:v>1</x:v>
      </x:c>
      <x:c r="L402" t="n">
        <x:v>1</x:v>
      </x:c>
      <x:c r="M402" t="n">
        <x:v>1</x:v>
      </x:c>
      <x:c r="N402" t="n">
        <x:v>1</x:v>
      </x:c>
    </x:row>
    <x:row r="403">
      <x:c r="A403" t="str">
        <x:v>a2_new_minus_old_on_new_a1</x:v>
      </x:c>
      <x:c r="B403" t="str">
        <x:v>atomic</x:v>
      </x:c>
      <x:c r="C403" t="str">
        <x:f>"qid:6776234528515962047"</x:f>
        <x:v>qid:6776234528515962047</x:v>
      </x:c>
      <x:c r="D403" s="14" t="str">
        <x:v>Who is the most run in cricket history?</x:v>
      </x:c>
      <x:c r="E403" t="str">
        <x:v>new_old</x:v>
      </x:c>
      <x:c r="F403" t="str">
        <x:v>new_new</x:v>
      </x:c>
      <x:c r="G403" s="34" t="n">
        <x:v>1</x:v>
      </x:c>
      <x:c r="H403" s="34" t="n">
        <x:v>1</x:v>
      </x:c>
      <x:c r="I403" s="34" t="n">
        <x:v>0</x:v>
      </x:c>
      <x:c r="J403" t="str">
        <x:v>unchanged</x:v>
      </x:c>
      <x:c r="K403" t="n">
        <x:v>1</x:v>
      </x:c>
      <x:c r="L403" t="n">
        <x:v>1</x:v>
      </x:c>
      <x:c r="M403" t="n">
        <x:v>1</x:v>
      </x:c>
      <x:c r="N403" t="n">
        <x:v>1</x:v>
      </x:c>
    </x:row>
    <x:row r="404">
      <x:c r="A404" t="str">
        <x:v>a2_new_minus_old_on_new_a1</x:v>
      </x:c>
      <x:c r="B404" t="str">
        <x:v>atomic</x:v>
      </x:c>
      <x:c r="C404" t="str">
        <x:f>"qid:6962706727076805207"</x:f>
        <x:v>qid:6962706727076805207</x:v>
      </x:c>
      <x:c r="D404" s="14" t="str">
        <x:v>What kind of car in to catch a thief?</x:v>
      </x:c>
      <x:c r="E404" t="str">
        <x:v>new_old</x:v>
      </x:c>
      <x:c r="F404" t="str">
        <x:v>new_new</x:v>
      </x:c>
      <x:c r="G404" s="34" t="n">
        <x:v>1</x:v>
      </x:c>
      <x:c r="H404" s="34" t="n">
        <x:v>1</x:v>
      </x:c>
      <x:c r="I404" s="34" t="n">
        <x:v>0</x:v>
      </x:c>
      <x:c r="J404" t="str">
        <x:v>unchanged</x:v>
      </x:c>
      <x:c r="K404" t="n">
        <x:v>1</x:v>
      </x:c>
      <x:c r="L404" t="n">
        <x:v>1</x:v>
      </x:c>
      <x:c r="M404" t="n">
        <x:v>1</x:v>
      </x:c>
      <x:c r="N404" t="n">
        <x:v>1</x:v>
      </x:c>
    </x:row>
    <x:row r="405">
      <x:c r="A405" t="str">
        <x:v>a2_new_minus_old_on_new_a1</x:v>
      </x:c>
      <x:c r="B405" t="str">
        <x:v>atomic</x:v>
      </x:c>
      <x:c r="C405" t="str">
        <x:f>"qid:7150599999316106461"</x:f>
        <x:v>qid:7150599999316106461</x:v>
      </x:c>
      <x:c r="D405" s="14" t="str">
        <x:v>Who was the first singing brothers in the hall of fame?</x:v>
      </x:c>
      <x:c r="E405" t="str">
        <x:v>new_old</x:v>
      </x:c>
      <x:c r="F405" t="str">
        <x:v>new_new</x:v>
      </x:c>
      <x:c r="G405" s="34" t="n">
        <x:v>1</x:v>
      </x:c>
      <x:c r="H405" s="34" t="n">
        <x:v>1</x:v>
      </x:c>
      <x:c r="I405" s="34" t="n">
        <x:v>0</x:v>
      </x:c>
      <x:c r="J405" t="str">
        <x:v>unchanged</x:v>
      </x:c>
      <x:c r="K405" t="n">
        <x:v>1</x:v>
      </x:c>
      <x:c r="L405" t="n">
        <x:v>1</x:v>
      </x:c>
      <x:c r="M405" t="n">
        <x:v>1</x:v>
      </x:c>
      <x:c r="N405" t="n">
        <x:v>1</x:v>
      </x:c>
    </x:row>
    <x:row r="406">
      <x:c r="A406" t="str">
        <x:v>a2_new_minus_old_on_new_a1</x:v>
      </x:c>
      <x:c r="B406" t="str">
        <x:v>atomic</x:v>
      </x:c>
      <x:c r="C406" t="str">
        <x:f>"qid:732619765350082410"</x:f>
        <x:v>qid:732619765350082410</x:v>
      </x:c>
      <x:c r="D406" s="14" t="str">
        <x:v>When did toronto host the mlb all-star game?</x:v>
      </x:c>
      <x:c r="E406" t="str">
        <x:v>new_old</x:v>
      </x:c>
      <x:c r="F406" t="str">
        <x:v>new_new</x:v>
      </x:c>
      <x:c r="G406" s="34" t="n">
        <x:v>1</x:v>
      </x:c>
      <x:c r="H406" s="34" t="n">
        <x:v>1</x:v>
      </x:c>
      <x:c r="I406" s="34" t="n">
        <x:v>0</x:v>
      </x:c>
      <x:c r="J406" t="str">
        <x:v>unchanged</x:v>
      </x:c>
      <x:c r="K406" t="n">
        <x:v>1</x:v>
      </x:c>
      <x:c r="L406" t="n">
        <x:v>1</x:v>
      </x:c>
      <x:c r="M406" t="n">
        <x:v>1</x:v>
      </x:c>
      <x:c r="N406" t="n">
        <x:v>1</x:v>
      </x:c>
    </x:row>
    <x:row r="407">
      <x:c r="A407" t="str">
        <x:v>a2_new_minus_old_on_new_a1</x:v>
      </x:c>
      <x:c r="B407" t="str">
        <x:v>atomic</x:v>
      </x:c>
      <x:c r="C407" t="str">
        <x:f>"qid:743600309736467122"</x:f>
        <x:v>qid:743600309736467122</x:v>
      </x:c>
      <x:c r="D407" s="14" t="str">
        <x:v>When was on the revolutions of the heavenly spheres published?</x:v>
      </x:c>
      <x:c r="E407" t="str">
        <x:v>new_old</x:v>
      </x:c>
      <x:c r="F407" t="str">
        <x:v>new_new</x:v>
      </x:c>
      <x:c r="G407" s="34" t="n">
        <x:v>1</x:v>
      </x:c>
      <x:c r="H407" s="34" t="n">
        <x:v>1</x:v>
      </x:c>
      <x:c r="I407" s="34" t="n">
        <x:v>0</x:v>
      </x:c>
      <x:c r="J407" t="str">
        <x:v>unchanged</x:v>
      </x:c>
      <x:c r="K407" t="n">
        <x:v>2</x:v>
      </x:c>
      <x:c r="L407" t="n">
        <x:v>2</x:v>
      </x:c>
      <x:c r="M407" t="n">
        <x:v>2</x:v>
      </x:c>
      <x:c r="N407" t="n">
        <x:v>2</x:v>
      </x:c>
    </x:row>
    <x:row r="408">
      <x:c r="A408" t="str">
        <x:v>a2_new_minus_old_on_new_a1</x:v>
      </x:c>
      <x:c r="B408" t="str">
        <x:v>atomic</x:v>
      </x:c>
      <x:c r="C408" t="str">
        <x:f>"qid:7494804303418493420"</x:f>
        <x:v>qid:7494804303418493420</x:v>
      </x:c>
      <x:c r="D408" s="14" t="str">
        <x:v>Movie with the song sunshine on my shoulders?</x:v>
      </x:c>
      <x:c r="E408" t="str">
        <x:v>new_old</x:v>
      </x:c>
      <x:c r="F408" t="str">
        <x:v>new_new</x:v>
      </x:c>
      <x:c r="G408" s="34" t="n">
        <x:v>1</x:v>
      </x:c>
      <x:c r="H408" s="34" t="n">
        <x:v>1</x:v>
      </x:c>
      <x:c r="I408" s="34" t="n">
        <x:v>0</x:v>
      </x:c>
      <x:c r="J408" t="str">
        <x:v>unchanged</x:v>
      </x:c>
      <x:c r="K408" t="n">
        <x:v>2</x:v>
      </x:c>
      <x:c r="L408" t="n">
        <x:v>2</x:v>
      </x:c>
      <x:c r="M408" t="n">
        <x:v>2</x:v>
      </x:c>
      <x:c r="N408" t="n">
        <x:v>2</x:v>
      </x:c>
    </x:row>
    <x:row r="409">
      <x:c r="A409" t="str">
        <x:v>a2_new_minus_old_on_new_a1</x:v>
      </x:c>
      <x:c r="B409" t="str">
        <x:v>atomic</x:v>
      </x:c>
      <x:c r="C409" t="str">
        <x:f>"qid:7797208395147217894"</x:f>
        <x:v>qid:7797208395147217894</x:v>
      </x:c>
      <x:c r="D409" s="14" t="str">
        <x:v>When did west germany win the world cup?</x:v>
      </x:c>
      <x:c r="E409" t="str">
        <x:v>new_old</x:v>
      </x:c>
      <x:c r="F409" t="str">
        <x:v>new_new</x:v>
      </x:c>
      <x:c r="G409" s="34" t="n">
        <x:v>1</x:v>
      </x:c>
      <x:c r="H409" s="34" t="n">
        <x:v>1</x:v>
      </x:c>
      <x:c r="I409" s="34" t="n">
        <x:v>0</x:v>
      </x:c>
      <x:c r="J409" t="str">
        <x:v>unchanged</x:v>
      </x:c>
      <x:c r="K409" t="n">
        <x:v>2</x:v>
      </x:c>
      <x:c r="L409" t="n">
        <x:v>2</x:v>
      </x:c>
      <x:c r="M409" t="n">
        <x:v>2</x:v>
      </x:c>
      <x:c r="N409" t="n">
        <x:v>2</x:v>
      </x:c>
    </x:row>
    <x:row r="410">
      <x:c r="A410" t="str">
        <x:v>a2_new_minus_old_on_new_a1</x:v>
      </x:c>
      <x:c r="B410" t="str">
        <x:v>atomic</x:v>
      </x:c>
      <x:c r="C410" t="str">
        <x:f>"qid:8433533625736230886"</x:f>
        <x:v>qid:8433533625736230886</x:v>
      </x:c>
      <x:c r="D410" s="14" t="str">
        <x:v>Who has won the most trophies man utd or liverpool?</x:v>
      </x:c>
      <x:c r="E410" t="str">
        <x:v>new_old</x:v>
      </x:c>
      <x:c r="F410" t="str">
        <x:v>new_new</x:v>
      </x:c>
      <x:c r="G410" s="34" t="n">
        <x:v>1</x:v>
      </x:c>
      <x:c r="H410" s="34" t="n">
        <x:v>1</x:v>
      </x:c>
      <x:c r="I410" s="34" t="n">
        <x:v>0</x:v>
      </x:c>
      <x:c r="J410" t="str">
        <x:v>unchanged</x:v>
      </x:c>
      <x:c r="K410" t="n">
        <x:v>1</x:v>
      </x:c>
      <x:c r="L410" t="n">
        <x:v>1</x:v>
      </x:c>
      <x:c r="M410" t="n">
        <x:v>1</x:v>
      </x:c>
      <x:c r="N410" t="n">
        <x:v>1</x:v>
      </x:c>
    </x:row>
    <x:row r="411">
      <x:c r="A411" t="str">
        <x:v>a2_new_minus_old_on_new_a1</x:v>
      </x:c>
      <x:c r="B411" t="str">
        <x:v>atomic</x:v>
      </x:c>
      <x:c r="C411" t="str">
        <x:f>"qid:8686216144939155905"</x:f>
        <x:v>qid:8686216144939155905</x:v>
      </x:c>
      <x:c r="D411" s="14" t="str">
        <x:v>What is the name of the time zone for london?</x:v>
      </x:c>
      <x:c r="E411" t="str">
        <x:v>new_old</x:v>
      </x:c>
      <x:c r="F411" t="str">
        <x:v>new_new</x:v>
      </x:c>
      <x:c r="G411" s="34" t="n">
        <x:v>1</x:v>
      </x:c>
      <x:c r="H411" s="34" t="n">
        <x:v>1</x:v>
      </x:c>
      <x:c r="I411" s="34" t="n">
        <x:v>0</x:v>
      </x:c>
      <x:c r="J411" t="str">
        <x:v>unchanged</x:v>
      </x:c>
      <x:c r="K411" t="n">
        <x:v>1</x:v>
      </x:c>
      <x:c r="L411" t="n">
        <x:v>1</x:v>
      </x:c>
      <x:c r="M411" t="n">
        <x:v>1</x:v>
      </x:c>
      <x:c r="N411" t="n">
        <x:v>1</x:v>
      </x:c>
    </x:row>
    <x:row r="412">
      <x:c r="A412" t="str">
        <x:v>a2_new_minus_old_on_new_a1</x:v>
      </x:c>
      <x:c r="B412" t="str">
        <x:v>atomic</x:v>
      </x:c>
      <x:c r="C412" t="str">
        <x:f>"qid:87005427005915954"</x:f>
        <x:v>qid:87005427005915954</x:v>
      </x:c>
      <x:c r="D412" s="14" t="str">
        <x:v>When was the last time galway won the hurling all ireland?</x:v>
      </x:c>
      <x:c r="E412" t="str">
        <x:v>new_old</x:v>
      </x:c>
      <x:c r="F412" t="str">
        <x:v>new_new</x:v>
      </x:c>
      <x:c r="G412" s="34" t="n">
        <x:v>1</x:v>
      </x:c>
      <x:c r="H412" s="34" t="n">
        <x:v>1</x:v>
      </x:c>
      <x:c r="I412" s="34" t="n">
        <x:v>0</x:v>
      </x:c>
      <x:c r="J412" t="str">
        <x:v>unchanged</x:v>
      </x:c>
      <x:c r="K412" t="n">
        <x:v>1</x:v>
      </x:c>
      <x:c r="L412" t="n">
        <x:v>1</x:v>
      </x:c>
      <x:c r="M412" t="n">
        <x:v>1</x:v>
      </x:c>
      <x:c r="N412" t="n">
        <x:v>1</x:v>
      </x:c>
    </x:row>
    <x:row r="413">
      <x:c r="A413" t="str">
        <x:v>a2_new_minus_old_on_new_a1</x:v>
      </x:c>
      <x:c r="B413" t="str">
        <x:v>self_contained</x:v>
      </x:c>
      <x:c r="C413" t="str">
        <x:f>"qid:-1062522255440685408"</x:f>
        <x:v>qid:-1062522255440685408</x:v>
      </x:c>
      <x:c r="D413" s="14" t="str">
        <x:v>When did the first generation kindle fire come out?</x:v>
      </x:c>
      <x:c r="E413" t="str">
        <x:v>new_old</x:v>
      </x:c>
      <x:c r="F413" t="str">
        <x:v>new_new</x:v>
      </x:c>
      <x:c r="G413" s="34" t="n">
        <x:v>1</x:v>
      </x:c>
      <x:c r="H413" s="34" t="n">
        <x:v>1</x:v>
      </x:c>
      <x:c r="I413" s="34" t="n">
        <x:v>0</x:v>
      </x:c>
      <x:c r="J413" t="str">
        <x:v>unchanged</x:v>
      </x:c>
      <x:c r="K413" t="n">
        <x:v>1</x:v>
      </x:c>
      <x:c r="L413" t="n">
        <x:v>1</x:v>
      </x:c>
      <x:c r="M413" t="n">
        <x:v>1</x:v>
      </x:c>
      <x:c r="N413" t="n">
        <x:v>1</x:v>
      </x:c>
    </x:row>
    <x:row r="414">
      <x:c r="A414" t="str">
        <x:v>a2_new_minus_old_on_new_a1</x:v>
      </x:c>
      <x:c r="B414" t="str">
        <x:v>self_contained</x:v>
      </x:c>
      <x:c r="C414" t="str">
        <x:f>"qid:-1859261645300630518"</x:f>
        <x:v>qid:-1859261645300630518</x:v>
      </x:c>
      <x:c r="D414" s="14" t="str">
        <x:v>When does steve come back in shameless season 5?</x:v>
      </x:c>
      <x:c r="E414" t="str">
        <x:v>new_old</x:v>
      </x:c>
      <x:c r="F414" t="str">
        <x:v>new_new</x:v>
      </x:c>
      <x:c r="G414" s="34" t="n">
        <x:v>1</x:v>
      </x:c>
      <x:c r="H414" s="34" t="n">
        <x:v>1</x:v>
      </x:c>
      <x:c r="I414" s="34" t="n">
        <x:v>0</x:v>
      </x:c>
      <x:c r="J414" t="str">
        <x:v>unchanged</x:v>
      </x:c>
      <x:c r="K414" t="n">
        <x:v>2</x:v>
      </x:c>
      <x:c r="L414" t="n">
        <x:v>2</x:v>
      </x:c>
      <x:c r="M414" t="n">
        <x:v>2</x:v>
      </x:c>
      <x:c r="N414" t="n">
        <x:v>2</x:v>
      </x:c>
    </x:row>
    <x:row r="415">
      <x:c r="A415" t="str">
        <x:v>a2_new_minus_old_on_new_a1</x:v>
      </x:c>
      <x:c r="B415" t="str">
        <x:v>self_contained</x:v>
      </x:c>
      <x:c r="C415" t="str">
        <x:f>"qid:-2585133819352441604"</x:f>
        <x:v>qid:-2585133819352441604</x:v>
      </x:c>
      <x:c r="D415" s="14" t="str">
        <x:v>Name of first episode of this is us?</x:v>
      </x:c>
      <x:c r="E415" t="str">
        <x:v>new_old</x:v>
      </x:c>
      <x:c r="F415" t="str">
        <x:v>new_new</x:v>
      </x:c>
      <x:c r="G415" s="34" t="n">
        <x:v>1</x:v>
      </x:c>
      <x:c r="H415" s="34" t="n">
        <x:v>1</x:v>
      </x:c>
      <x:c r="I415" s="34" t="n">
        <x:v>0</x:v>
      </x:c>
      <x:c r="J415" t="str">
        <x:v>unchanged</x:v>
      </x:c>
      <x:c r="K415" t="n">
        <x:v>1</x:v>
      </x:c>
      <x:c r="L415" t="n">
        <x:v>1</x:v>
      </x:c>
      <x:c r="M415" t="n">
        <x:v>1</x:v>
      </x:c>
      <x:c r="N415" t="n">
        <x:v>1</x:v>
      </x:c>
    </x:row>
    <x:row r="416">
      <x:c r="A416" t="str">
        <x:v>a2_new_minus_old_on_new_a1</x:v>
      </x:c>
      <x:c r="B416" t="str">
        <x:v>self_contained</x:v>
      </x:c>
      <x:c r="C416" t="str">
        <x:f>"qid:-3228483207040151533"</x:f>
        <x:v>qid:-3228483207040151533</x:v>
      </x:c>
      <x:c r="D416" s="14" t="str">
        <x:v>What bodies of water surround cabo san lucas?</x:v>
      </x:c>
      <x:c r="E416" t="str">
        <x:v>new_old</x:v>
      </x:c>
      <x:c r="F416" t="str">
        <x:v>new_new</x:v>
      </x:c>
      <x:c r="G416" s="34" t="n">
        <x:v>1</x:v>
      </x:c>
      <x:c r="H416" s="34" t="n">
        <x:v>1</x:v>
      </x:c>
      <x:c r="I416" s="34" t="n">
        <x:v>0</x:v>
      </x:c>
      <x:c r="J416" t="str">
        <x:v>unchanged</x:v>
      </x:c>
      <x:c r="K416" t="n">
        <x:v>1</x:v>
      </x:c>
      <x:c r="L416" t="n">
        <x:v>1</x:v>
      </x:c>
      <x:c r="M416" t="n">
        <x:v>1</x:v>
      </x:c>
      <x:c r="N416" t="n">
        <x:v>1</x:v>
      </x:c>
    </x:row>
    <x:row r="417">
      <x:c r="A417" t="str">
        <x:v>a2_new_minus_old_on_new_a1</x:v>
      </x:c>
      <x:c r="B417" t="str">
        <x:v>self_contained</x:v>
      </x:c>
      <x:c r="C417" t="str">
        <x:f>"qid:-3279585462082900736"</x:f>
        <x:v>qid:-3279585462082900736</x:v>
      </x:c>
      <x:c r="D417" s="14" t="str">
        <x:v>Who gets fired on grey's anatomy season 6?</x:v>
      </x:c>
      <x:c r="E417" t="str">
        <x:v>new_old</x:v>
      </x:c>
      <x:c r="F417" t="str">
        <x:v>new_new</x:v>
      </x:c>
      <x:c r="G417" s="34" t="n">
        <x:v>1</x:v>
      </x:c>
      <x:c r="H417" s="34" t="n">
        <x:v>1</x:v>
      </x:c>
      <x:c r="I417" s="34" t="n">
        <x:v>0</x:v>
      </x:c>
      <x:c r="J417" t="str">
        <x:v>unchanged</x:v>
      </x:c>
      <x:c r="K417" t="n">
        <x:v>1</x:v>
      </x:c>
      <x:c r="L417" t="n">
        <x:v>1</x:v>
      </x:c>
      <x:c r="M417" t="n">
        <x:v>1</x:v>
      </x:c>
      <x:c r="N417" t="n">
        <x:v>1</x:v>
      </x:c>
    </x:row>
    <x:row r="418">
      <x:c r="A418" t="str">
        <x:v>a2_new_minus_old_on_new_a1</x:v>
      </x:c>
      <x:c r="B418" t="str">
        <x:v>self_contained</x:v>
      </x:c>
      <x:c r="C418" t="str">
        <x:f>"qid:-3344541168958463110"</x:f>
        <x:v>qid:-3344541168958463110</x:v>
      </x:c>
      <x:c r="D418" s="14" t="str">
        <x:v>Who fought with an angel in the bible?</x:v>
      </x:c>
      <x:c r="E418" t="str">
        <x:v>new_old</x:v>
      </x:c>
      <x:c r="F418" t="str">
        <x:v>new_new</x:v>
      </x:c>
      <x:c r="G418" s="34" t="n">
        <x:v>1</x:v>
      </x:c>
      <x:c r="H418" s="34" t="n">
        <x:v>1</x:v>
      </x:c>
      <x:c r="I418" s="34" t="n">
        <x:v>0</x:v>
      </x:c>
      <x:c r="J418" t="str">
        <x:v>unchanged</x:v>
      </x:c>
      <x:c r="K418" t="n">
        <x:v>1</x:v>
      </x:c>
      <x:c r="L418" t="n">
        <x:v>1</x:v>
      </x:c>
      <x:c r="M418" t="n">
        <x:v>1</x:v>
      </x:c>
      <x:c r="N418" t="n">
        <x:v>1</x:v>
      </x:c>
    </x:row>
    <x:row r="419">
      <x:c r="A419" t="str">
        <x:v>a2_new_minus_old_on_new_a1</x:v>
      </x:c>
      <x:c r="B419" t="str">
        <x:v>self_contained</x:v>
      </x:c>
      <x:c r="C419" t="str">
        <x:f>"qid:-3904805932335139116"</x:f>
        <x:v>qid:-3904805932335139116</x:v>
      </x:c>
      <x:c r="D419" s="14" t="str">
        <x:v>What was the daughter's name on the jetsons?</x:v>
      </x:c>
      <x:c r="E419" t="str">
        <x:v>new_old</x:v>
      </x:c>
      <x:c r="F419" t="str">
        <x:v>new_new</x:v>
      </x:c>
      <x:c r="G419" s="34" t="n">
        <x:v>1</x:v>
      </x:c>
      <x:c r="H419" s="34" t="n">
        <x:v>1</x:v>
      </x:c>
      <x:c r="I419" s="34" t="n">
        <x:v>0</x:v>
      </x:c>
      <x:c r="J419" t="str">
        <x:v>unchanged</x:v>
      </x:c>
      <x:c r="K419" t="n">
        <x:v>1</x:v>
      </x:c>
      <x:c r="L419" t="n">
        <x:v>1</x:v>
      </x:c>
      <x:c r="M419" t="n">
        <x:v>1</x:v>
      </x:c>
      <x:c r="N419" t="n">
        <x:v>1</x:v>
      </x:c>
    </x:row>
    <x:row r="420">
      <x:c r="A420" t="str">
        <x:v>a2_new_minus_old_on_new_a1</x:v>
      </x:c>
      <x:c r="B420" t="str">
        <x:v>self_contained</x:v>
      </x:c>
      <x:c r="C420" t="str">
        <x:f>"qid:-4286108617234818000"</x:f>
        <x:v>qid:-4286108617234818000</x:v>
      </x:c>
      <x:c r="D420" s="14" t="str">
        <x:v>When does the new super troopers movie come out?</x:v>
      </x:c>
      <x:c r="E420" t="str">
        <x:v>new_old</x:v>
      </x:c>
      <x:c r="F420" t="str">
        <x:v>new_new</x:v>
      </x:c>
      <x:c r="G420" s="34" t="n">
        <x:v>1</x:v>
      </x:c>
      <x:c r="H420" s="34" t="n">
        <x:v>1</x:v>
      </x:c>
      <x:c r="I420" s="34" t="n">
        <x:v>0</x:v>
      </x:c>
      <x:c r="J420" t="str">
        <x:v>unchanged</x:v>
      </x:c>
      <x:c r="K420" t="n">
        <x:v>3</x:v>
      </x:c>
      <x:c r="L420" t="n">
        <x:v>3</x:v>
      </x:c>
      <x:c r="M420" t="n">
        <x:v>3</x:v>
      </x:c>
      <x:c r="N420" t="n">
        <x:v>3</x:v>
      </x:c>
    </x:row>
    <x:row r="421">
      <x:c r="A421" t="str">
        <x:v>a2_new_minus_old_on_new_a1</x:v>
      </x:c>
      <x:c r="B421" t="str">
        <x:v>self_contained</x:v>
      </x:c>
      <x:c r="C421" t="str">
        <x:f>"qid:-4456614433280196572"</x:f>
        <x:v>qid:-4456614433280196572</x:v>
      </x:c>
      <x:c r="D421" s="14" t="str">
        <x:v>What season does meredith and derek get married in grey's anatomy?</x:v>
      </x:c>
      <x:c r="E421" t="str">
        <x:v>new_old</x:v>
      </x:c>
      <x:c r="F421" t="str">
        <x:v>new_new</x:v>
      </x:c>
      <x:c r="G421" s="34" t="n">
        <x:v>1</x:v>
      </x:c>
      <x:c r="H421" s="34" t="n">
        <x:v>1</x:v>
      </x:c>
      <x:c r="I421" s="34" t="n">
        <x:v>0</x:v>
      </x:c>
      <x:c r="J421" t="str">
        <x:v>unchanged</x:v>
      </x:c>
      <x:c r="K421" t="n">
        <x:v>1</x:v>
      </x:c>
      <x:c r="L421" t="n">
        <x:v>1</x:v>
      </x:c>
      <x:c r="M421" t="n">
        <x:v>1</x:v>
      </x:c>
      <x:c r="N421" t="n">
        <x:v>1</x:v>
      </x:c>
    </x:row>
    <x:row r="422">
      <x:c r="A422" t="str">
        <x:v>a2_new_minus_old_on_new_a1</x:v>
      </x:c>
      <x:c r="B422" t="str">
        <x:v>self_contained</x:v>
      </x:c>
      <x:c r="C422" t="str">
        <x:f>"qid:-447198893588059167"</x:f>
        <x:v>qid:-447198893588059167</x:v>
      </x:c>
      <x:c r="D422" s="14" t="str">
        <x:v>Who played the father in leave it to beaver?</x:v>
      </x:c>
      <x:c r="E422" t="str">
        <x:v>new_old</x:v>
      </x:c>
      <x:c r="F422" t="str">
        <x:v>new_new</x:v>
      </x:c>
      <x:c r="G422" s="34" t="n">
        <x:v>1</x:v>
      </x:c>
      <x:c r="H422" s="34" t="n">
        <x:v>1</x:v>
      </x:c>
      <x:c r="I422" s="34" t="n">
        <x:v>0</x:v>
      </x:c>
      <x:c r="J422" t="str">
        <x:v>unchanged</x:v>
      </x:c>
      <x:c r="K422" t="n">
        <x:v>1</x:v>
      </x:c>
      <x:c r="L422" t="n">
        <x:v>1</x:v>
      </x:c>
      <x:c r="M422" t="n">
        <x:v>1</x:v>
      </x:c>
      <x:c r="N422" t="n">
        <x:v>1</x:v>
      </x:c>
    </x:row>
    <x:row r="423">
      <x:c r="A423" t="str">
        <x:v>a2_new_minus_old_on_new_a1</x:v>
      </x:c>
      <x:c r="B423" t="str">
        <x:v>self_contained</x:v>
      </x:c>
      <x:c r="C423" t="str">
        <x:f>"qid:-4649654703638364295"</x:f>
        <x:v>qid:-4649654703638364295</x:v>
      </x:c>
      <x:c r="D423" s="14" t="str">
        <x:v>Who made it through the divisional finals world of dance?</x:v>
      </x:c>
      <x:c r="E423" t="str">
        <x:v>new_old</x:v>
      </x:c>
      <x:c r="F423" t="str">
        <x:v>new_new</x:v>
      </x:c>
      <x:c r="G423" s="34" t="n">
        <x:v>1</x:v>
      </x:c>
      <x:c r="H423" s="34" t="n">
        <x:v>1</x:v>
      </x:c>
      <x:c r="I423" s="34" t="n">
        <x:v>0</x:v>
      </x:c>
      <x:c r="J423" t="str">
        <x:v>unchanged</x:v>
      </x:c>
      <x:c r="K423" t="n">
        <x:v>1</x:v>
      </x:c>
      <x:c r="L423" t="n">
        <x:v>1</x:v>
      </x:c>
      <x:c r="M423" t="n">
        <x:v>1</x:v>
      </x:c>
      <x:c r="N423" t="n">
        <x:v>1</x:v>
      </x:c>
    </x:row>
    <x:row r="424">
      <x:c r="A424" t="str">
        <x:v>a2_new_minus_old_on_new_a1</x:v>
      </x:c>
      <x:c r="B424" t="str">
        <x:v>self_contained</x:v>
      </x:c>
      <x:c r="C424" t="str">
        <x:f>"qid:-4873786835306543030"</x:f>
        <x:v>qid:-4873786835306543030</x:v>
      </x:c>
      <x:c r="D424" s="14" t="str">
        <x:v>Who is the chief minister of m. p?</x:v>
      </x:c>
      <x:c r="E424" t="str">
        <x:v>new_old</x:v>
      </x:c>
      <x:c r="F424" t="str">
        <x:v>new_new</x:v>
      </x:c>
      <x:c r="G424" s="34" t="n">
        <x:v>1</x:v>
      </x:c>
      <x:c r="H424" s="34" t="n">
        <x:v>1</x:v>
      </x:c>
      <x:c r="I424" s="34" t="n">
        <x:v>0</x:v>
      </x:c>
      <x:c r="J424" t="str">
        <x:v>unchanged</x:v>
      </x:c>
      <x:c r="K424" t="n">
        <x:v>1</x:v>
      </x:c>
      <x:c r="L424" t="n">
        <x:v>1</x:v>
      </x:c>
      <x:c r="M424" t="n">
        <x:v>1</x:v>
      </x:c>
      <x:c r="N424" t="n">
        <x:v>1</x:v>
      </x:c>
    </x:row>
    <x:row r="425">
      <x:c r="A425" t="str">
        <x:v>a2_new_minus_old_on_new_a1</x:v>
      </x:c>
      <x:c r="B425" t="str">
        <x:v>self_contained</x:v>
      </x:c>
      <x:c r="C425" t="str">
        <x:f>"qid:-4995398567532229571"</x:f>
        <x:v>qid:-4995398567532229571</x:v>
      </x:c>
      <x:c r="D425" s="14" t="str">
        <x:v>When did ragtime flourished in the united states?</x:v>
      </x:c>
      <x:c r="E425" t="str">
        <x:v>new_old</x:v>
      </x:c>
      <x:c r="F425" t="str">
        <x:v>new_new</x:v>
      </x:c>
      <x:c r="G425" s="34" t="n">
        <x:v>1</x:v>
      </x:c>
      <x:c r="H425" s="34" t="n">
        <x:v>1</x:v>
      </x:c>
      <x:c r="I425" s="34" t="n">
        <x:v>0</x:v>
      </x:c>
      <x:c r="J425" t="str">
        <x:v>unchanged</x:v>
      </x:c>
      <x:c r="K425" t="n">
        <x:v>1</x:v>
      </x:c>
      <x:c r="L425" t="n">
        <x:v>1</x:v>
      </x:c>
      <x:c r="M425" t="n">
        <x:v>1</x:v>
      </x:c>
      <x:c r="N425" t="n">
        <x:v>1</x:v>
      </x:c>
    </x:row>
    <x:row r="426">
      <x:c r="A426" t="str">
        <x:v>a2_new_minus_old_on_new_a1</x:v>
      </x:c>
      <x:c r="B426" t="str">
        <x:v>self_contained</x:v>
      </x:c>
      <x:c r="C426" t="str">
        <x:f>"qid:-5036947181661390825"</x:f>
        <x:v>qid:-5036947181661390825</x:v>
      </x:c>
      <x:c r="D426" s="14" t="str">
        <x:v>When was the vietnam veterans war memorial built?</x:v>
      </x:c>
      <x:c r="E426" t="str">
        <x:v>new_old</x:v>
      </x:c>
      <x:c r="F426" t="str">
        <x:v>new_new</x:v>
      </x:c>
      <x:c r="G426" s="34" t="n">
        <x:v>1</x:v>
      </x:c>
      <x:c r="H426" s="34" t="n">
        <x:v>1</x:v>
      </x:c>
      <x:c r="I426" s="34" t="n">
        <x:v>0</x:v>
      </x:c>
      <x:c r="J426" t="str">
        <x:v>unchanged</x:v>
      </x:c>
      <x:c r="K426" t="n">
        <x:v>1</x:v>
      </x:c>
      <x:c r="L426" t="n">
        <x:v>1</x:v>
      </x:c>
      <x:c r="M426" t="n">
        <x:v>1</x:v>
      </x:c>
      <x:c r="N426" t="n">
        <x:v>1</x:v>
      </x:c>
    </x:row>
    <x:row r="427">
      <x:c r="A427" t="str">
        <x:v>a2_new_minus_old_on_new_a1</x:v>
      </x:c>
      <x:c r="B427" t="str">
        <x:v>self_contained</x:v>
      </x:c>
      <x:c r="C427" t="str">
        <x:f>"qid:-5116644172939113883"</x:f>
        <x:v>qid:-5116644172939113883</x:v>
      </x:c>
      <x:c r="D427" s="14" t="str">
        <x:v>Who raps in the gorillaz song clint eastwood?</x:v>
      </x:c>
      <x:c r="E427" t="str">
        <x:v>new_old</x:v>
      </x:c>
      <x:c r="F427" t="str">
        <x:v>new_new</x:v>
      </x:c>
      <x:c r="G427" s="34" t="n">
        <x:v>1</x:v>
      </x:c>
      <x:c r="H427" s="34" t="n">
        <x:v>1</x:v>
      </x:c>
      <x:c r="I427" s="34" t="n">
        <x:v>0</x:v>
      </x:c>
      <x:c r="J427" t="str">
        <x:v>unchanged</x:v>
      </x:c>
      <x:c r="K427" t="n">
        <x:v>1</x:v>
      </x:c>
      <x:c r="L427" t="n">
        <x:v>1</x:v>
      </x:c>
      <x:c r="M427" t="n">
        <x:v>1</x:v>
      </x:c>
      <x:c r="N427" t="n">
        <x:v>1</x:v>
      </x:c>
    </x:row>
    <x:row r="428">
      <x:c r="A428" t="str">
        <x:v>a2_new_minus_old_on_new_a1</x:v>
      </x:c>
      <x:c r="B428" t="str">
        <x:v>self_contained</x:v>
      </x:c>
      <x:c r="C428" t="str">
        <x:f>"qid:-5333049627570569397"</x:f>
        <x:v>qid:-5333049627570569397</x:v>
      </x:c>
      <x:c r="D428" s="14" t="str">
        <x:v>When did the song can't touch this come out?</x:v>
      </x:c>
      <x:c r="E428" t="str">
        <x:v>new_old</x:v>
      </x:c>
      <x:c r="F428" t="str">
        <x:v>new_new</x:v>
      </x:c>
      <x:c r="G428" s="34" t="n">
        <x:v>1</x:v>
      </x:c>
      <x:c r="H428" s="34" t="n">
        <x:v>1</x:v>
      </x:c>
      <x:c r="I428" s="34" t="n">
        <x:v>0</x:v>
      </x:c>
      <x:c r="J428" t="str">
        <x:v>unchanged</x:v>
      </x:c>
      <x:c r="K428" t="n">
        <x:v>1</x:v>
      </x:c>
      <x:c r="L428" t="n">
        <x:v>1</x:v>
      </x:c>
      <x:c r="M428" t="n">
        <x:v>1</x:v>
      </x:c>
      <x:c r="N428" t="n">
        <x:v>1</x:v>
      </x:c>
    </x:row>
    <x:row r="429">
      <x:c r="A429" t="str">
        <x:v>a2_new_minus_old_on_new_a1</x:v>
      </x:c>
      <x:c r="B429" t="str">
        <x:v>self_contained</x:v>
      </x:c>
      <x:c r="C429" t="str">
        <x:f>"qid:-5564120845047915486"</x:f>
        <x:v>qid:-5564120845047915486</x:v>
      </x:c>
      <x:c r="D429" s="14" t="str">
        <x:v>Where do you find a simple gear train?</x:v>
      </x:c>
      <x:c r="E429" t="str">
        <x:v>new_old</x:v>
      </x:c>
      <x:c r="F429" t="str">
        <x:v>new_new</x:v>
      </x:c>
      <x:c r="G429" s="34" t="n">
        <x:v>1</x:v>
      </x:c>
      <x:c r="H429" s="34" t="n">
        <x:v>1</x:v>
      </x:c>
      <x:c r="I429" s="34" t="n">
        <x:v>0</x:v>
      </x:c>
      <x:c r="J429" t="str">
        <x:v>unchanged</x:v>
      </x:c>
      <x:c r="K429" t="n">
        <x:v>1</x:v>
      </x:c>
      <x:c r="L429" t="n">
        <x:v>1</x:v>
      </x:c>
      <x:c r="M429" t="n">
        <x:v>1</x:v>
      </x:c>
      <x:c r="N429" t="n">
        <x:v>1</x:v>
      </x:c>
    </x:row>
    <x:row r="430">
      <x:c r="A430" t="str">
        <x:v>a2_new_minus_old_on_new_a1</x:v>
      </x:c>
      <x:c r="B430" t="str">
        <x:v>self_contained</x:v>
      </x:c>
      <x:c r="C430" t="str">
        <x:f>"qid:-5842265707961388968"</x:f>
        <x:v>qid:-5842265707961388968</x:v>
      </x:c>
      <x:c r="D430" s="14" t="str">
        <x:v>Who beat villanova last year in the ncaa tournament?</x:v>
      </x:c>
      <x:c r="E430" t="str">
        <x:v>new_old</x:v>
      </x:c>
      <x:c r="F430" t="str">
        <x:v>new_new</x:v>
      </x:c>
      <x:c r="G430" s="34" t="n">
        <x:v>1</x:v>
      </x:c>
      <x:c r="H430" s="34" t="n">
        <x:v>1</x:v>
      </x:c>
      <x:c r="I430" s="34" t="n">
        <x:v>0</x:v>
      </x:c>
      <x:c r="J430" t="str">
        <x:v>unchanged</x:v>
      </x:c>
      <x:c r="K430" t="n">
        <x:v>1</x:v>
      </x:c>
      <x:c r="L430" t="n">
        <x:v>1</x:v>
      </x:c>
      <x:c r="M430" t="n">
        <x:v>1</x:v>
      </x:c>
      <x:c r="N430" t="n">
        <x:v>1</x:v>
      </x:c>
    </x:row>
    <x:row r="431">
      <x:c r="A431" t="str">
        <x:v>a2_new_minus_old_on_new_a1</x:v>
      </x:c>
      <x:c r="B431" t="str">
        <x:v>self_contained</x:v>
      </x:c>
      <x:c r="C431" t="str">
        <x:f>"qid:-5942352520455511076"</x:f>
        <x:v>qid:-5942352520455511076</x:v>
      </x:c>
      <x:c r="D431" s="14" t="str">
        <x:v>Where can adipose tissue be found in the body?</x:v>
      </x:c>
      <x:c r="E431" t="str">
        <x:v>new_old</x:v>
      </x:c>
      <x:c r="F431" t="str">
        <x:v>new_new</x:v>
      </x:c>
      <x:c r="G431" s="34" t="n">
        <x:v>1</x:v>
      </x:c>
      <x:c r="H431" s="34" t="n">
        <x:v>1</x:v>
      </x:c>
      <x:c r="I431" s="34" t="n">
        <x:v>0</x:v>
      </x:c>
      <x:c r="J431" t="str">
        <x:v>unchanged</x:v>
      </x:c>
      <x:c r="K431" t="n">
        <x:v>2</x:v>
      </x:c>
      <x:c r="L431" t="n">
        <x:v>2</x:v>
      </x:c>
      <x:c r="M431" t="n">
        <x:v>5</x:v>
      </x:c>
      <x:c r="N431" t="n">
        <x:v>5</x:v>
      </x:c>
    </x:row>
    <x:row r="432">
      <x:c r="A432" t="str">
        <x:v>a2_new_minus_old_on_new_a1</x:v>
      </x:c>
      <x:c r="B432" t="str">
        <x:v>self_contained</x:v>
      </x:c>
      <x:c r="C432" t="str">
        <x:f>"qid:-62521546794442829"</x:f>
        <x:v>qid:-62521546794442829</x:v>
      </x:c>
      <x:c r="D432" s="14" t="str">
        <x:v>For whom was the battle of king's mountain a victory?</x:v>
      </x:c>
      <x:c r="E432" t="str">
        <x:v>new_old</x:v>
      </x:c>
      <x:c r="F432" t="str">
        <x:v>new_new</x:v>
      </x:c>
      <x:c r="G432" s="34" t="n">
        <x:v>1</x:v>
      </x:c>
      <x:c r="H432" s="34" t="n">
        <x:v>1</x:v>
      </x:c>
      <x:c r="I432" s="34" t="n">
        <x:v>0</x:v>
      </x:c>
      <x:c r="J432" t="str">
        <x:v>unchanged</x:v>
      </x:c>
      <x:c r="K432" t="n">
        <x:v>1</x:v>
      </x:c>
      <x:c r="L432" t="n">
        <x:v>1</x:v>
      </x:c>
      <x:c r="M432" t="n">
        <x:v>1</x:v>
      </x:c>
      <x:c r="N432" t="n">
        <x:v>1</x:v>
      </x:c>
    </x:row>
    <x:row r="433">
      <x:c r="A433" t="str">
        <x:v>a2_new_minus_old_on_new_a1</x:v>
      </x:c>
      <x:c r="B433" t="str">
        <x:v>self_contained</x:v>
      </x:c>
      <x:c r="C433" t="str">
        <x:f>"qid:-6702031255040326279"</x:f>
        <x:v>qid:-6702031255040326279</x:v>
      </x:c>
      <x:c r="D433" s="14" t="str">
        <x:v>Which of the animal is a carrier of h1n1?</x:v>
      </x:c>
      <x:c r="E433" t="str">
        <x:v>new_old</x:v>
      </x:c>
      <x:c r="F433" t="str">
        <x:v>new_new</x:v>
      </x:c>
      <x:c r="G433" s="34" t="n">
        <x:v>1</x:v>
      </x:c>
      <x:c r="H433" s="34" t="n">
        <x:v>1</x:v>
      </x:c>
      <x:c r="I433" s="34" t="n">
        <x:v>0</x:v>
      </x:c>
      <x:c r="J433" t="str">
        <x:v>unchanged</x:v>
      </x:c>
      <x:c r="K433" t="n">
        <x:v>1</x:v>
      </x:c>
      <x:c r="L433" t="n">
        <x:v>1</x:v>
      </x:c>
      <x:c r="M433" t="n">
        <x:v>1</x:v>
      </x:c>
      <x:c r="N433" t="n">
        <x:v>1</x:v>
      </x:c>
    </x:row>
    <x:row r="434">
      <x:c r="A434" t="str">
        <x:v>a2_new_minus_old_on_new_a1</x:v>
      </x:c>
      <x:c r="B434" t="str">
        <x:v>self_contained</x:v>
      </x:c>
      <x:c r="C434" t="str">
        <x:f>"qid:-728189424752983312"</x:f>
        <x:v>qid:-728189424752983312</x:v>
      </x:c>
      <x:c r="D434" s="14" t="str">
        <x:v>Where did the term bye felicia come from?</x:v>
      </x:c>
      <x:c r="E434" t="str">
        <x:v>new_old</x:v>
      </x:c>
      <x:c r="F434" t="str">
        <x:v>new_new</x:v>
      </x:c>
      <x:c r="G434" s="34" t="n">
        <x:v>1</x:v>
      </x:c>
      <x:c r="H434" s="34" t="n">
        <x:v>1</x:v>
      </x:c>
      <x:c r="I434" s="34" t="n">
        <x:v>0</x:v>
      </x:c>
      <x:c r="J434" t="str">
        <x:v>unchanged</x:v>
      </x:c>
      <x:c r="K434" t="n">
        <x:v>1</x:v>
      </x:c>
      <x:c r="L434" t="n">
        <x:v>1</x:v>
      </x:c>
      <x:c r="M434" t="n">
        <x:v>1</x:v>
      </x:c>
      <x:c r="N434" t="n">
        <x:v>1</x:v>
      </x:c>
    </x:row>
    <x:row r="435">
      <x:c r="A435" t="str">
        <x:v>a2_new_minus_old_on_new_a1</x:v>
      </x:c>
      <x:c r="B435" t="str">
        <x:v>self_contained</x:v>
      </x:c>
      <x:c r="C435" t="str">
        <x:f>"qid:-7699606393193219666"</x:f>
        <x:v>qid:-7699606393193219666</x:v>
      </x:c>
      <x:c r="D435" s="14" t="str">
        <x:v>Who played cowboy curtis on pee wee herman?</x:v>
      </x:c>
      <x:c r="E435" t="str">
        <x:v>new_old</x:v>
      </x:c>
      <x:c r="F435" t="str">
        <x:v>new_new</x:v>
      </x:c>
      <x:c r="G435" s="34" t="n">
        <x:v>1</x:v>
      </x:c>
      <x:c r="H435" s="34" t="n">
        <x:v>1</x:v>
      </x:c>
      <x:c r="I435" s="34" t="n">
        <x:v>0</x:v>
      </x:c>
      <x:c r="J435" t="str">
        <x:v>unchanged</x:v>
      </x:c>
      <x:c r="K435" t="n">
        <x:v>1</x:v>
      </x:c>
      <x:c r="L435" t="n">
        <x:v>1</x:v>
      </x:c>
      <x:c r="M435" t="n">
        <x:v>1</x:v>
      </x:c>
      <x:c r="N435" t="n">
        <x:v>1</x:v>
      </x:c>
    </x:row>
    <x:row r="436">
      <x:c r="A436" t="str">
        <x:v>a2_new_minus_old_on_new_a1</x:v>
      </x:c>
      <x:c r="B436" t="str">
        <x:v>self_contained</x:v>
      </x:c>
      <x:c r="C436" t="str">
        <x:f>"qid:-7824075627194227170"</x:f>
        <x:v>qid:-7824075627194227170</x:v>
      </x:c>
      <x:c r="D436" s="14" t="str">
        <x:v>When was the commission fir sc/st established?</x:v>
      </x:c>
      <x:c r="E436" t="str">
        <x:v>new_old</x:v>
      </x:c>
      <x:c r="F436" t="str">
        <x:v>new_new</x:v>
      </x:c>
      <x:c r="G436" s="34" t="n">
        <x:v>1</x:v>
      </x:c>
      <x:c r="H436" s="34" t="n">
        <x:v>1</x:v>
      </x:c>
      <x:c r="I436" s="34" t="n">
        <x:v>0</x:v>
      </x:c>
      <x:c r="J436" t="str">
        <x:v>unchanged</x:v>
      </x:c>
      <x:c r="K436" t="n">
        <x:v>1</x:v>
      </x:c>
      <x:c r="L436" t="n">
        <x:v>1</x:v>
      </x:c>
      <x:c r="M436" t="n">
        <x:v>1</x:v>
      </x:c>
      <x:c r="N436" t="n">
        <x:v>1</x:v>
      </x:c>
    </x:row>
    <x:row r="437">
      <x:c r="A437" t="str">
        <x:v>a2_new_minus_old_on_new_a1</x:v>
      </x:c>
      <x:c r="B437" t="str">
        <x:v>self_contained</x:v>
      </x:c>
      <x:c r="C437" t="str">
        <x:f>"qid:-8286966211355378010"</x:f>
        <x:v>qid:-8286966211355378010</x:v>
      </x:c>
      <x:c r="D437" s="14" t="str">
        <x:v>What is the objective of tour de france?</x:v>
      </x:c>
      <x:c r="E437" t="str">
        <x:v>new_old</x:v>
      </x:c>
      <x:c r="F437" t="str">
        <x:v>new_new</x:v>
      </x:c>
      <x:c r="G437" s="34" t="n">
        <x:v>0.6666666666666666</x:v>
      </x:c>
      <x:c r="H437" s="34" t="n">
        <x:v>1</x:v>
      </x:c>
      <x:c r="I437" s="34" t="n">
        <x:v>0.33333333333333337</x:v>
      </x:c>
      <x:c r="J437" t="str">
        <x:v>improved</x:v>
      </x:c>
      <x:c r="K437" t="n">
        <x:v>2</x:v>
      </x:c>
      <x:c r="L437" t="n">
        <x:v>3</x:v>
      </x:c>
      <x:c r="M437" t="n">
        <x:v>3</x:v>
      </x:c>
      <x:c r="N437" t="n">
        <x:v>3</x:v>
      </x:c>
    </x:row>
    <x:row r="438">
      <x:c r="A438" t="str">
        <x:v>a2_new_minus_old_on_new_a1</x:v>
      </x:c>
      <x:c r="B438" t="str">
        <x:v>self_contained</x:v>
      </x:c>
      <x:c r="C438" t="str">
        <x:f>"qid:-9141149438582194391"</x:f>
        <x:v>qid:-9141149438582194391</x:v>
      </x:c>
      <x:c r="D438" s="14" t="str">
        <x:v>Who has scored the highest number of runs in test cricket?</x:v>
      </x:c>
      <x:c r="E438" t="str">
        <x:v>new_old</x:v>
      </x:c>
      <x:c r="F438" t="str">
        <x:v>new_new</x:v>
      </x:c>
      <x:c r="G438" s="34" t="n">
        <x:v>1</x:v>
      </x:c>
      <x:c r="H438" s="34" t="n">
        <x:v>1</x:v>
      </x:c>
      <x:c r="I438" s="34" t="n">
        <x:v>0</x:v>
      </x:c>
      <x:c r="J438" t="str">
        <x:v>unchanged</x:v>
      </x:c>
      <x:c r="K438" t="n">
        <x:v>2</x:v>
      </x:c>
      <x:c r="L438" t="n">
        <x:v>2</x:v>
      </x:c>
      <x:c r="M438" t="n">
        <x:v>2</x:v>
      </x:c>
      <x:c r="N438" t="n">
        <x:v>2</x:v>
      </x:c>
    </x:row>
    <x:row r="439">
      <x:c r="A439" t="str">
        <x:v>a2_new_minus_old_on_new_a1</x:v>
      </x:c>
      <x:c r="B439" t="str">
        <x:v>self_contained</x:v>
      </x:c>
      <x:c r="C439" t="str">
        <x:f>"qid:-99543908387769967"</x:f>
        <x:v>qid:-99543908387769967</x:v>
      </x:c>
      <x:c r="D439" s="14" t="str">
        <x:v>Who does sansa marry on game of thrones?</x:v>
      </x:c>
      <x:c r="E439" t="str">
        <x:v>new_old</x:v>
      </x:c>
      <x:c r="F439" t="str">
        <x:v>new_new</x:v>
      </x:c>
      <x:c r="G439" s="34" t="n">
        <x:v>1</x:v>
      </x:c>
      <x:c r="H439" s="34" t="n">
        <x:v>1</x:v>
      </x:c>
      <x:c r="I439" s="34" t="n">
        <x:v>0</x:v>
      </x:c>
      <x:c r="J439" t="str">
        <x:v>unchanged</x:v>
      </x:c>
      <x:c r="K439" t="n">
        <x:v>1</x:v>
      </x:c>
      <x:c r="L439" t="n">
        <x:v>1</x:v>
      </x:c>
      <x:c r="M439" t="n">
        <x:v>1</x:v>
      </x:c>
      <x:c r="N439" t="n">
        <x:v>1</x:v>
      </x:c>
    </x:row>
    <x:row r="440">
      <x:c r="A440" t="str">
        <x:v>a2_new_minus_old_on_new_a1</x:v>
      </x:c>
      <x:c r="B440" t="str">
        <x:v>self_contained</x:v>
      </x:c>
      <x:c r="C440" t="str">
        <x:f>"qid:16881061444712536"</x:f>
        <x:v>qid:16881061444712536</x:v>
      </x:c>
      <x:c r="D440" s="14" t="str">
        <x:v>Where does the amazon river start and finish?</x:v>
      </x:c>
      <x:c r="E440" t="str">
        <x:v>new_old</x:v>
      </x:c>
      <x:c r="F440" t="str">
        <x:v>new_new</x:v>
      </x:c>
      <x:c r="G440" s="34" t="n">
        <x:v>1</x:v>
      </x:c>
      <x:c r="H440" s="34" t="n">
        <x:v>1</x:v>
      </x:c>
      <x:c r="I440" s="34" t="n">
        <x:v>0</x:v>
      </x:c>
      <x:c r="J440" t="str">
        <x:v>unchanged</x:v>
      </x:c>
      <x:c r="K440" t="n">
        <x:v>2</x:v>
      </x:c>
      <x:c r="L440" t="n">
        <x:v>2</x:v>
      </x:c>
      <x:c r="M440" t="n">
        <x:v>2</x:v>
      </x:c>
      <x:c r="N440" t="n">
        <x:v>2</x:v>
      </x:c>
    </x:row>
    <x:row r="441">
      <x:c r="A441" t="str">
        <x:v>a2_new_minus_old_on_new_a1</x:v>
      </x:c>
      <x:c r="B441" t="str">
        <x:v>self_contained</x:v>
      </x:c>
      <x:c r="C441" t="str">
        <x:f>"qid:1763163294931046731"</x:f>
        <x:v>qid:1763163294931046731</x:v>
      </x:c>
      <x:c r="D441" s="14" t="str">
        <x:v>Who played violet rutherford on leave it to beaver?</x:v>
      </x:c>
      <x:c r="E441" t="str">
        <x:v>new_old</x:v>
      </x:c>
      <x:c r="F441" t="str">
        <x:v>new_new</x:v>
      </x:c>
      <x:c r="G441" s="34" t="n">
        <x:v>1</x:v>
      </x:c>
      <x:c r="H441" s="34" t="n">
        <x:v>1</x:v>
      </x:c>
      <x:c r="I441" s="34" t="n">
        <x:v>0</x:v>
      </x:c>
      <x:c r="J441" t="str">
        <x:v>unchanged</x:v>
      </x:c>
      <x:c r="K441" t="n">
        <x:v>1</x:v>
      </x:c>
      <x:c r="L441" t="n">
        <x:v>1</x:v>
      </x:c>
      <x:c r="M441" t="n">
        <x:v>1</x:v>
      </x:c>
      <x:c r="N441" t="n">
        <x:v>1</x:v>
      </x:c>
    </x:row>
    <x:row r="442">
      <x:c r="A442" t="str">
        <x:v>a2_new_minus_old_on_new_a1</x:v>
      </x:c>
      <x:c r="B442" t="str">
        <x:v>self_contained</x:v>
      </x:c>
      <x:c r="C442" t="str">
        <x:f>"qid:2221044921312683785"</x:f>
        <x:v>qid:2221044921312683785</x:v>
      </x:c>
      <x:c r="D442" s="14" t="str">
        <x:v>When did the apple tv 4k come out?</x:v>
      </x:c>
      <x:c r="E442" t="str">
        <x:v>new_old</x:v>
      </x:c>
      <x:c r="F442" t="str">
        <x:v>new_new</x:v>
      </x:c>
      <x:c r="G442" s="34" t="n">
        <x:v>1</x:v>
      </x:c>
      <x:c r="H442" s="34" t="n">
        <x:v>1</x:v>
      </x:c>
      <x:c r="I442" s="34" t="n">
        <x:v>0</x:v>
      </x:c>
      <x:c r="J442" t="str">
        <x:v>unchanged</x:v>
      </x:c>
      <x:c r="K442" t="n">
        <x:v>1</x:v>
      </x:c>
      <x:c r="L442" t="n">
        <x:v>1</x:v>
      </x:c>
      <x:c r="M442" t="n">
        <x:v>1</x:v>
      </x:c>
      <x:c r="N442" t="n">
        <x:v>1</x:v>
      </x:c>
    </x:row>
    <x:row r="443">
      <x:c r="A443" t="str">
        <x:v>a2_new_minus_old_on_new_a1</x:v>
      </x:c>
      <x:c r="B443" t="str">
        <x:v>self_contained</x:v>
      </x:c>
      <x:c r="C443" t="str">
        <x:f>"qid:2469112227919120438"</x:f>
        <x:v>qid:2469112227919120438</x:v>
      </x:c>
      <x:c r="D443" s="14" t="str">
        <x:v>The creation of the senate was based on the?</x:v>
      </x:c>
      <x:c r="E443" t="str">
        <x:v>new_old</x:v>
      </x:c>
      <x:c r="F443" t="str">
        <x:v>new_new</x:v>
      </x:c>
      <x:c r="G443" s="34" t="n">
        <x:v>1</x:v>
      </x:c>
      <x:c r="H443" s="34" t="n">
        <x:v>1</x:v>
      </x:c>
      <x:c r="I443" s="34" t="n">
        <x:v>0</x:v>
      </x:c>
      <x:c r="J443" t="str">
        <x:v>unchanged</x:v>
      </x:c>
      <x:c r="K443" t="n">
        <x:v>1</x:v>
      </x:c>
      <x:c r="L443" t="n">
        <x:v>1</x:v>
      </x:c>
      <x:c r="M443" t="n">
        <x:v>1</x:v>
      </x:c>
      <x:c r="N443" t="n">
        <x:v>1</x:v>
      </x:c>
    </x:row>
    <x:row r="444">
      <x:c r="A444" t="str">
        <x:v>a2_new_minus_old_on_new_a1</x:v>
      </x:c>
      <x:c r="B444" t="str">
        <x:v>self_contained</x:v>
      </x:c>
      <x:c r="C444" t="str">
        <x:f>"qid:3605104154738105404"</x:f>
        <x:v>qid:3605104154738105404</x:v>
      </x:c>
      <x:c r="D444" s="14" t="str">
        <x:v>What episode does jason gideon die in criminal minds?</x:v>
      </x:c>
      <x:c r="E444" t="str">
        <x:v>new_old</x:v>
      </x:c>
      <x:c r="F444" t="str">
        <x:v>new_new</x:v>
      </x:c>
      <x:c r="G444" s="34" t="n">
        <x:v>1</x:v>
      </x:c>
      <x:c r="H444" s="34" t="n">
        <x:v>1</x:v>
      </x:c>
      <x:c r="I444" s="34" t="n">
        <x:v>0</x:v>
      </x:c>
      <x:c r="J444" t="str">
        <x:v>unchanged</x:v>
      </x:c>
      <x:c r="K444" t="n">
        <x:v>1</x:v>
      </x:c>
      <x:c r="L444" t="n">
        <x:v>1</x:v>
      </x:c>
      <x:c r="M444" t="n">
        <x:v>1</x:v>
      </x:c>
      <x:c r="N444" t="n">
        <x:v>1</x:v>
      </x:c>
    </x:row>
    <x:row r="445">
      <x:c r="A445" t="str">
        <x:v>a2_new_minus_old_on_new_a1</x:v>
      </x:c>
      <x:c r="B445" t="str">
        <x:v>self_contained</x:v>
      </x:c>
      <x:c r="C445" t="str">
        <x:f>"qid:3643093465010420057"</x:f>
        <x:v>qid:3643093465010420057</x:v>
      </x:c>
      <x:c r="D445" s="14" t="str">
        <x:v>What city in texas has the highest elevation?</x:v>
      </x:c>
      <x:c r="E445" t="str">
        <x:v>new_old</x:v>
      </x:c>
      <x:c r="F445" t="str">
        <x:v>new_new</x:v>
      </x:c>
      <x:c r="G445" s="34" t="n">
        <x:v>1</x:v>
      </x:c>
      <x:c r="H445" s="34" t="n">
        <x:v>1</x:v>
      </x:c>
      <x:c r="I445" s="34" t="n">
        <x:v>0</x:v>
      </x:c>
      <x:c r="J445" t="str">
        <x:v>unchanged</x:v>
      </x:c>
      <x:c r="K445" t="n">
        <x:v>2</x:v>
      </x:c>
      <x:c r="L445" t="n">
        <x:v>2</x:v>
      </x:c>
      <x:c r="M445" t="n">
        <x:v>2</x:v>
      </x:c>
      <x:c r="N445" t="n">
        <x:v>2</x:v>
      </x:c>
    </x:row>
    <x:row r="446">
      <x:c r="A446" t="str">
        <x:v>a2_new_minus_old_on_new_a1</x:v>
      </x:c>
      <x:c r="B446" t="str">
        <x:v>self_contained</x:v>
      </x:c>
      <x:c r="C446" t="str">
        <x:f>"qid:4150448921344430432"</x:f>
        <x:v>qid:4150448921344430432</x:v>
      </x:c>
      <x:c r="D446" s="14" t="str">
        <x:v>Who were the original twins in everybody loves raymond?</x:v>
      </x:c>
      <x:c r="E446" t="str">
        <x:v>new_old</x:v>
      </x:c>
      <x:c r="F446" t="str">
        <x:v>new_new</x:v>
      </x:c>
      <x:c r="G446" s="34" t="n">
        <x:v>1</x:v>
      </x:c>
      <x:c r="H446" s="34" t="n">
        <x:v>1</x:v>
      </x:c>
      <x:c r="I446" s="34" t="n">
        <x:v>0</x:v>
      </x:c>
      <x:c r="J446" t="str">
        <x:v>unchanged</x:v>
      </x:c>
      <x:c r="K446" t="n">
        <x:v>1</x:v>
      </x:c>
      <x:c r="L446" t="n">
        <x:v>1</x:v>
      </x:c>
      <x:c r="M446" t="n">
        <x:v>1</x:v>
      </x:c>
      <x:c r="N446" t="n">
        <x:v>1</x:v>
      </x:c>
    </x:row>
    <x:row r="447">
      <x:c r="A447" t="str">
        <x:v>a2_new_minus_old_on_new_a1</x:v>
      </x:c>
      <x:c r="B447" t="str">
        <x:v>self_contained</x:v>
      </x:c>
      <x:c r="C447" t="str">
        <x:f>"qid:4183252176965080529"</x:f>
        <x:v>qid:4183252176965080529</x:v>
      </x:c>
      <x:c r="D447" s="14" t="str">
        <x:v>When does the new independence day come out?</x:v>
      </x:c>
      <x:c r="E447" t="str">
        <x:v>new_old</x:v>
      </x:c>
      <x:c r="F447" t="str">
        <x:v>new_new</x:v>
      </x:c>
      <x:c r="G447" s="34" t="n">
        <x:v>1</x:v>
      </x:c>
      <x:c r="H447" s="34" t="n">
        <x:v>1</x:v>
      </x:c>
      <x:c r="I447" s="34" t="n">
        <x:v>0</x:v>
      </x:c>
      <x:c r="J447" t="str">
        <x:v>unchanged</x:v>
      </x:c>
      <x:c r="K447" t="n">
        <x:v>1</x:v>
      </x:c>
      <x:c r="L447" t="n">
        <x:v>1</x:v>
      </x:c>
      <x:c r="M447" t="n">
        <x:v>1</x:v>
      </x:c>
      <x:c r="N447" t="n">
        <x:v>1</x:v>
      </x:c>
    </x:row>
    <x:row r="448">
      <x:c r="A448" t="str">
        <x:v>a2_new_minus_old_on_new_a1</x:v>
      </x:c>
      <x:c r="B448" t="str">
        <x:v>self_contained</x:v>
      </x:c>
      <x:c r="C448" t="str">
        <x:f>"qid:4474597907223412132"</x:f>
        <x:v>qid:4474597907223412132</x:v>
      </x:c>
      <x:c r="D448" s="14" t="str">
        <x:v>Who were the two astronauts who stayed a year on the iss?</x:v>
      </x:c>
      <x:c r="E448" t="str">
        <x:v>new_old</x:v>
      </x:c>
      <x:c r="F448" t="str">
        <x:v>new_new</x:v>
      </x:c>
      <x:c r="G448" s="34" t="n">
        <x:v>1</x:v>
      </x:c>
      <x:c r="H448" s="34" t="n">
        <x:v>1</x:v>
      </x:c>
      <x:c r="I448" s="34" t="n">
        <x:v>0</x:v>
      </x:c>
      <x:c r="J448" t="str">
        <x:v>unchanged</x:v>
      </x:c>
      <x:c r="K448" t="n">
        <x:v>1</x:v>
      </x:c>
      <x:c r="L448" t="n">
        <x:v>1</x:v>
      </x:c>
      <x:c r="M448" t="n">
        <x:v>1</x:v>
      </x:c>
      <x:c r="N448" t="n">
        <x:v>1</x:v>
      </x:c>
    </x:row>
    <x:row r="449">
      <x:c r="A449" t="str">
        <x:v>a2_new_minus_old_on_new_a1</x:v>
      </x:c>
      <x:c r="B449" t="str">
        <x:v>self_contained</x:v>
      </x:c>
      <x:c r="C449" t="str">
        <x:f>"qid:586233275728240023"</x:f>
        <x:v>qid:586233275728240023</x:v>
      </x:c>
      <x:c r="D449" s="14" t="str">
        <x:v>What is the os of samsung smart tv?</x:v>
      </x:c>
      <x:c r="E449" t="str">
        <x:v>new_old</x:v>
      </x:c>
      <x:c r="F449" t="str">
        <x:v>new_new</x:v>
      </x:c>
      <x:c r="G449" s="34" t="n">
        <x:v>1</x:v>
      </x:c>
      <x:c r="H449" s="34" t="n">
        <x:v>1</x:v>
      </x:c>
      <x:c r="I449" s="34" t="n">
        <x:v>0</x:v>
      </x:c>
      <x:c r="J449" t="str">
        <x:v>unchanged</x:v>
      </x:c>
      <x:c r="K449" t="n">
        <x:v>1</x:v>
      </x:c>
      <x:c r="L449" t="n">
        <x:v>1</x:v>
      </x:c>
      <x:c r="M449" t="n">
        <x:v>1</x:v>
      </x:c>
      <x:c r="N449" t="n">
        <x:v>1</x:v>
      </x:c>
    </x:row>
    <x:row r="450">
      <x:c r="A450" t="str">
        <x:v>a2_new_minus_old_on_new_a1</x:v>
      </x:c>
      <x:c r="B450" t="str">
        <x:v>self_contained</x:v>
      </x:c>
      <x:c r="C450" t="str">
        <x:f>"qid:6257465985316109835"</x:f>
        <x:v>qid:6257465985316109835</x:v>
      </x:c>
      <x:c r="D450" s="14" t="str">
        <x:v>Who is the main character in liv and maddie?</x:v>
      </x:c>
      <x:c r="E450" t="str">
        <x:v>new_old</x:v>
      </x:c>
      <x:c r="F450" t="str">
        <x:v>new_new</x:v>
      </x:c>
      <x:c r="G450" s="34" t="n">
        <x:v>1</x:v>
      </x:c>
      <x:c r="H450" s="34" t="n">
        <x:v>1</x:v>
      </x:c>
      <x:c r="I450" s="34" t="n">
        <x:v>0</x:v>
      </x:c>
      <x:c r="J450" t="str">
        <x:v>unchanged</x:v>
      </x:c>
      <x:c r="K450" t="n">
        <x:v>1</x:v>
      </x:c>
      <x:c r="L450" t="n">
        <x:v>1</x:v>
      </x:c>
      <x:c r="M450" t="n">
        <x:v>1</x:v>
      </x:c>
      <x:c r="N450" t="n">
        <x:v>1</x:v>
      </x:c>
    </x:row>
    <x:row r="451">
      <x:c r="A451" t="str">
        <x:v>a2_new_minus_old_on_new_a1</x:v>
      </x:c>
      <x:c r="B451" t="str">
        <x:v>self_contained</x:v>
      </x:c>
      <x:c r="C451" t="str">
        <x:f>"qid:6514531923811923780"</x:f>
        <x:v>qid:6514531923811923780</x:v>
      </x:c>
      <x:c r="D451" s="14" t="str">
        <x:v>When does disney's food and wine festival end?</x:v>
      </x:c>
      <x:c r="E451" t="str">
        <x:v>new_old</x:v>
      </x:c>
      <x:c r="F451" t="str">
        <x:v>new_new</x:v>
      </x:c>
      <x:c r="G451" s="34" t="n">
        <x:v>0</x:v>
      </x:c>
      <x:c r="H451" s="34" t="n">
        <x:v>0</x:v>
      </x:c>
      <x:c r="I451" s="34" t="n">
        <x:v>0</x:v>
      </x:c>
      <x:c r="J451" t="str">
        <x:v>unchanged</x:v>
      </x:c>
      <x:c r="K451" t="n">
        <x:v>0</x:v>
      </x:c>
      <x:c r="L451" t="n">
        <x:v>1</x:v>
      </x:c>
      <x:c r="M451" t="n">
        <x:v>0</x:v>
      </x:c>
      <x:c r="N451" t="n">
        <x:v>1</x:v>
      </x:c>
    </x:row>
    <x:row r="452">
      <x:c r="A452" t="str">
        <x:v>a2_new_minus_old_on_new_a1</x:v>
      </x:c>
      <x:c r="B452" t="str">
        <x:v>self_contained</x:v>
      </x:c>
      <x:c r="C452" t="str">
        <x:f>"qid:6776234528515962047"</x:f>
        <x:v>qid:6776234528515962047</x:v>
      </x:c>
      <x:c r="D452" s="14" t="str">
        <x:v>Who is the most run in cricket history?</x:v>
      </x:c>
      <x:c r="E452" t="str">
        <x:v>new_old</x:v>
      </x:c>
      <x:c r="F452" t="str">
        <x:v>new_new</x:v>
      </x:c>
      <x:c r="G452" s="34" t="n">
        <x:v>1</x:v>
      </x:c>
      <x:c r="H452" s="34" t="n">
        <x:v>1</x:v>
      </x:c>
      <x:c r="I452" s="34" t="n">
        <x:v>0</x:v>
      </x:c>
      <x:c r="J452" t="str">
        <x:v>unchanged</x:v>
      </x:c>
      <x:c r="K452" t="n">
        <x:v>1</x:v>
      </x:c>
      <x:c r="L452" t="n">
        <x:v>1</x:v>
      </x:c>
      <x:c r="M452" t="n">
        <x:v>1</x:v>
      </x:c>
      <x:c r="N452" t="n">
        <x:v>1</x:v>
      </x:c>
    </x:row>
    <x:row r="453">
      <x:c r="A453" t="str">
        <x:v>a2_new_minus_old_on_new_a1</x:v>
      </x:c>
      <x:c r="B453" t="str">
        <x:v>self_contained</x:v>
      </x:c>
      <x:c r="C453" t="str">
        <x:f>"qid:6962706727076805207"</x:f>
        <x:v>qid:6962706727076805207</x:v>
      </x:c>
      <x:c r="D453" s="14" t="str">
        <x:v>What kind of car in to catch a thief?</x:v>
      </x:c>
      <x:c r="E453" t="str">
        <x:v>new_old</x:v>
      </x:c>
      <x:c r="F453" t="str">
        <x:v>new_new</x:v>
      </x:c>
      <x:c r="G453" s="34" t="n">
        <x:v>1</x:v>
      </x:c>
      <x:c r="H453" s="34" t="n">
        <x:v>1</x:v>
      </x:c>
      <x:c r="I453" s="34" t="n">
        <x:v>0</x:v>
      </x:c>
      <x:c r="J453" t="str">
        <x:v>unchanged</x:v>
      </x:c>
      <x:c r="K453" t="n">
        <x:v>1</x:v>
      </x:c>
      <x:c r="L453" t="n">
        <x:v>1</x:v>
      </x:c>
      <x:c r="M453" t="n">
        <x:v>1</x:v>
      </x:c>
      <x:c r="N453" t="n">
        <x:v>1</x:v>
      </x:c>
    </x:row>
    <x:row r="454">
      <x:c r="A454" t="str">
        <x:v>a2_new_minus_old_on_new_a1</x:v>
      </x:c>
      <x:c r="B454" t="str">
        <x:v>self_contained</x:v>
      </x:c>
      <x:c r="C454" t="str">
        <x:f>"qid:7150599999316106461"</x:f>
        <x:v>qid:7150599999316106461</x:v>
      </x:c>
      <x:c r="D454" s="14" t="str">
        <x:v>Who was the first singing brothers in the hall of fame?</x:v>
      </x:c>
      <x:c r="E454" t="str">
        <x:v>new_old</x:v>
      </x:c>
      <x:c r="F454" t="str">
        <x:v>new_new</x:v>
      </x:c>
      <x:c r="G454" s="34" t="n">
        <x:v>1</x:v>
      </x:c>
      <x:c r="H454" s="34" t="n">
        <x:v>1</x:v>
      </x:c>
      <x:c r="I454" s="34" t="n">
        <x:v>0</x:v>
      </x:c>
      <x:c r="J454" t="str">
        <x:v>unchanged</x:v>
      </x:c>
      <x:c r="K454" t="n">
        <x:v>1</x:v>
      </x:c>
      <x:c r="L454" t="n">
        <x:v>1</x:v>
      </x:c>
      <x:c r="M454" t="n">
        <x:v>1</x:v>
      </x:c>
      <x:c r="N454" t="n">
        <x:v>1</x:v>
      </x:c>
    </x:row>
    <x:row r="455">
      <x:c r="A455" t="str">
        <x:v>a2_new_minus_old_on_new_a1</x:v>
      </x:c>
      <x:c r="B455" t="str">
        <x:v>self_contained</x:v>
      </x:c>
      <x:c r="C455" t="str">
        <x:f>"qid:732619765350082410"</x:f>
        <x:v>qid:732619765350082410</x:v>
      </x:c>
      <x:c r="D455" s="14" t="str">
        <x:v>When did toronto host the mlb all-star game?</x:v>
      </x:c>
      <x:c r="E455" t="str">
        <x:v>new_old</x:v>
      </x:c>
      <x:c r="F455" t="str">
        <x:v>new_new</x:v>
      </x:c>
      <x:c r="G455" s="34" t="n">
        <x:v>1</x:v>
      </x:c>
      <x:c r="H455" s="34" t="n">
        <x:v>1</x:v>
      </x:c>
      <x:c r="I455" s="34" t="n">
        <x:v>0</x:v>
      </x:c>
      <x:c r="J455" t="str">
        <x:v>unchanged</x:v>
      </x:c>
      <x:c r="K455" t="n">
        <x:v>1</x:v>
      </x:c>
      <x:c r="L455" t="n">
        <x:v>1</x:v>
      </x:c>
      <x:c r="M455" t="n">
        <x:v>1</x:v>
      </x:c>
      <x:c r="N455" t="n">
        <x:v>1</x:v>
      </x:c>
    </x:row>
    <x:row r="456">
      <x:c r="A456" t="str">
        <x:v>a2_new_minus_old_on_new_a1</x:v>
      </x:c>
      <x:c r="B456" t="str">
        <x:v>self_contained</x:v>
      </x:c>
      <x:c r="C456" t="str">
        <x:f>"qid:743600309736467122"</x:f>
        <x:v>qid:743600309736467122</x:v>
      </x:c>
      <x:c r="D456" s="14" t="str">
        <x:v>When was on the revolutions of the heavenly spheres published?</x:v>
      </x:c>
      <x:c r="E456" t="str">
        <x:v>new_old</x:v>
      </x:c>
      <x:c r="F456" t="str">
        <x:v>new_new</x:v>
      </x:c>
      <x:c r="G456" s="34" t="n">
        <x:v>0.5</x:v>
      </x:c>
      <x:c r="H456" s="34" t="n">
        <x:v>0.5</x:v>
      </x:c>
      <x:c r="I456" s="34" t="n">
        <x:v>0</x:v>
      </x:c>
      <x:c r="J456" t="str">
        <x:v>unchanged</x:v>
      </x:c>
      <x:c r="K456" t="n">
        <x:v>1</x:v>
      </x:c>
      <x:c r="L456" t="n">
        <x:v>2</x:v>
      </x:c>
      <x:c r="M456" t="n">
        <x:v>1</x:v>
      </x:c>
      <x:c r="N456" t="n">
        <x:v>2</x:v>
      </x:c>
    </x:row>
    <x:row r="457">
      <x:c r="A457" t="str">
        <x:v>a2_new_minus_old_on_new_a1</x:v>
      </x:c>
      <x:c r="B457" t="str">
        <x:v>self_contained</x:v>
      </x:c>
      <x:c r="C457" t="str">
        <x:f>"qid:7494804303418493420"</x:f>
        <x:v>qid:7494804303418493420</x:v>
      </x:c>
      <x:c r="D457" s="14" t="str">
        <x:v>Movie with the song sunshine on my shoulders?</x:v>
      </x:c>
      <x:c r="E457" t="str">
        <x:v>new_old</x:v>
      </x:c>
      <x:c r="F457" t="str">
        <x:v>new_new</x:v>
      </x:c>
      <x:c r="G457" s="34" t="n">
        <x:v>1</x:v>
      </x:c>
      <x:c r="H457" s="34" t="n">
        <x:v>1</x:v>
      </x:c>
      <x:c r="I457" s="34" t="n">
        <x:v>0</x:v>
      </x:c>
      <x:c r="J457" t="str">
        <x:v>unchanged</x:v>
      </x:c>
      <x:c r="K457" t="n">
        <x:v>2</x:v>
      </x:c>
      <x:c r="L457" t="n">
        <x:v>2</x:v>
      </x:c>
      <x:c r="M457" t="n">
        <x:v>2</x:v>
      </x:c>
      <x:c r="N457" t="n">
        <x:v>2</x:v>
      </x:c>
    </x:row>
    <x:row r="458">
      <x:c r="A458" t="str">
        <x:v>a2_new_minus_old_on_new_a1</x:v>
      </x:c>
      <x:c r="B458" t="str">
        <x:v>self_contained</x:v>
      </x:c>
      <x:c r="C458" t="str">
        <x:f>"qid:7797208395147217894"</x:f>
        <x:v>qid:7797208395147217894</x:v>
      </x:c>
      <x:c r="D458" s="14" t="str">
        <x:v>When did west germany win the world cup?</x:v>
      </x:c>
      <x:c r="E458" t="str">
        <x:v>new_old</x:v>
      </x:c>
      <x:c r="F458" t="str">
        <x:v>new_new</x:v>
      </x:c>
      <x:c r="G458" s="34" t="n">
        <x:v>1</x:v>
      </x:c>
      <x:c r="H458" s="34" t="n">
        <x:v>1</x:v>
      </x:c>
      <x:c r="I458" s="34" t="n">
        <x:v>0</x:v>
      </x:c>
      <x:c r="J458" t="str">
        <x:v>unchanged</x:v>
      </x:c>
      <x:c r="K458" t="n">
        <x:v>2</x:v>
      </x:c>
      <x:c r="L458" t="n">
        <x:v>2</x:v>
      </x:c>
      <x:c r="M458" t="n">
        <x:v>2</x:v>
      </x:c>
      <x:c r="N458" t="n">
        <x:v>2</x:v>
      </x:c>
    </x:row>
    <x:row r="459">
      <x:c r="A459" t="str">
        <x:v>a2_new_minus_old_on_new_a1</x:v>
      </x:c>
      <x:c r="B459" t="str">
        <x:v>self_contained</x:v>
      </x:c>
      <x:c r="C459" t="str">
        <x:f>"qid:8433533625736230886"</x:f>
        <x:v>qid:8433533625736230886</x:v>
      </x:c>
      <x:c r="D459" s="14" t="str">
        <x:v>Who has won the most trophies man utd or liverpool?</x:v>
      </x:c>
      <x:c r="E459" t="str">
        <x:v>new_old</x:v>
      </x:c>
      <x:c r="F459" t="str">
        <x:v>new_new</x:v>
      </x:c>
      <x:c r="G459" s="34" t="n">
        <x:v>1</x:v>
      </x:c>
      <x:c r="H459" s="34" t="n">
        <x:v>1</x:v>
      </x:c>
      <x:c r="I459" s="34" t="n">
        <x:v>0</x:v>
      </x:c>
      <x:c r="J459" t="str">
        <x:v>unchanged</x:v>
      </x:c>
      <x:c r="K459" t="n">
        <x:v>1</x:v>
      </x:c>
      <x:c r="L459" t="n">
        <x:v>1</x:v>
      </x:c>
      <x:c r="M459" t="n">
        <x:v>1</x:v>
      </x:c>
      <x:c r="N459" t="n">
        <x:v>1</x:v>
      </x:c>
    </x:row>
    <x:row r="460">
      <x:c r="A460" t="str">
        <x:v>a2_new_minus_old_on_new_a1</x:v>
      </x:c>
      <x:c r="B460" t="str">
        <x:v>self_contained</x:v>
      </x:c>
      <x:c r="C460" t="str">
        <x:f>"qid:8686216144939155905"</x:f>
        <x:v>qid:8686216144939155905</x:v>
      </x:c>
      <x:c r="D460" s="14" t="str">
        <x:v>What is the name of the time zone for london?</x:v>
      </x:c>
      <x:c r="E460" t="str">
        <x:v>new_old</x:v>
      </x:c>
      <x:c r="F460" t="str">
        <x:v>new_new</x:v>
      </x:c>
      <x:c r="G460" s="34" t="n">
        <x:v>1</x:v>
      </x:c>
      <x:c r="H460" s="34" t="n">
        <x:v>1</x:v>
      </x:c>
      <x:c r="I460" s="34" t="n">
        <x:v>0</x:v>
      </x:c>
      <x:c r="J460" t="str">
        <x:v>unchanged</x:v>
      </x:c>
      <x:c r="K460" t="n">
        <x:v>1</x:v>
      </x:c>
      <x:c r="L460" t="n">
        <x:v>1</x:v>
      </x:c>
      <x:c r="M460" t="n">
        <x:v>1</x:v>
      </x:c>
      <x:c r="N460" t="n">
        <x:v>1</x:v>
      </x:c>
    </x:row>
    <x:row r="461">
      <x:c r="A461" t="str">
        <x:v>a2_new_minus_old_on_new_a1</x:v>
      </x:c>
      <x:c r="B461" t="str">
        <x:v>self_contained</x:v>
      </x:c>
      <x:c r="C461" t="str">
        <x:f>"qid:87005427005915954"</x:f>
        <x:v>qid:87005427005915954</x:v>
      </x:c>
      <x:c r="D461" s="14" t="str">
        <x:v>When was the last time galway won the hurling all ireland?</x:v>
      </x:c>
      <x:c r="E461" t="str">
        <x:v>new_old</x:v>
      </x:c>
      <x:c r="F461" t="str">
        <x:v>new_new</x:v>
      </x:c>
      <x:c r="G461" s="34" t="n">
        <x:v>1</x:v>
      </x:c>
      <x:c r="H461" s="34" t="n">
        <x:v>1</x:v>
      </x:c>
      <x:c r="I461" s="34" t="n">
        <x:v>0</x:v>
      </x:c>
      <x:c r="J461" t="str">
        <x:v>unchanged</x:v>
      </x:c>
      <x:c r="K461" t="n">
        <x:v>1</x:v>
      </x:c>
      <x:c r="L461" t="n">
        <x:v>1</x:v>
      </x:c>
      <x:c r="M461" t="n">
        <x:v>1</x:v>
      </x:c>
      <x:c r="N461" t="n">
        <x:v>1</x:v>
      </x:c>
    </x:row>
    <x:row r="462">
      <x:c r="A462" t="str">
        <x:v>a2_new_minus_old_on_new_a1</x:v>
      </x:c>
      <x:c r="B462" t="str">
        <x:v>span_aligned</x:v>
      </x:c>
      <x:c r="C462" t="str">
        <x:f>"qid:-1062522255440685408"</x:f>
        <x:v>qid:-1062522255440685408</x:v>
      </x:c>
      <x:c r="D462" s="14" t="str">
        <x:v>When did the first generation kindle fire come out?</x:v>
      </x:c>
      <x:c r="E462" t="str">
        <x:v>new_old</x:v>
      </x:c>
      <x:c r="F462" t="str">
        <x:v>new_new</x:v>
      </x:c>
      <x:c r="G462" s="34" t="n">
        <x:v>1</x:v>
      </x:c>
      <x:c r="H462" s="34" t="n">
        <x:v>1</x:v>
      </x:c>
      <x:c r="I462" s="34" t="n">
        <x:v>0</x:v>
      </x:c>
      <x:c r="J462" t="str">
        <x:v>unchanged</x:v>
      </x:c>
      <x:c r="K462" t="n">
        <x:v>1</x:v>
      </x:c>
      <x:c r="L462" t="n">
        <x:v>1</x:v>
      </x:c>
      <x:c r="M462" t="n">
        <x:v>1</x:v>
      </x:c>
      <x:c r="N462" t="n">
        <x:v>1</x:v>
      </x:c>
    </x:row>
    <x:row r="463">
      <x:c r="A463" t="str">
        <x:v>a2_new_minus_old_on_new_a1</x:v>
      </x:c>
      <x:c r="B463" t="str">
        <x:v>span_aligned</x:v>
      </x:c>
      <x:c r="C463" t="str">
        <x:f>"qid:-1859261645300630518"</x:f>
        <x:v>qid:-1859261645300630518</x:v>
      </x:c>
      <x:c r="D463" s="14" t="str">
        <x:v>When does steve come back in shameless season 5?</x:v>
      </x:c>
      <x:c r="E463" t="str">
        <x:v>new_old</x:v>
      </x:c>
      <x:c r="F463" t="str">
        <x:v>new_new</x:v>
      </x:c>
      <x:c r="G463" s="34" t="n">
        <x:v>1</x:v>
      </x:c>
      <x:c r="H463" s="34" t="n">
        <x:v>1</x:v>
      </x:c>
      <x:c r="I463" s="34" t="n">
        <x:v>0</x:v>
      </x:c>
      <x:c r="J463" t="str">
        <x:v>unchanged</x:v>
      </x:c>
      <x:c r="K463" t="n">
        <x:v>2</x:v>
      </x:c>
      <x:c r="L463" t="n">
        <x:v>2</x:v>
      </x:c>
      <x:c r="M463" t="n">
        <x:v>2</x:v>
      </x:c>
      <x:c r="N463" t="n">
        <x:v>2</x:v>
      </x:c>
    </x:row>
    <x:row r="464">
      <x:c r="A464" t="str">
        <x:v>a2_new_minus_old_on_new_a1</x:v>
      </x:c>
      <x:c r="B464" t="str">
        <x:v>span_aligned</x:v>
      </x:c>
      <x:c r="C464" t="str">
        <x:f>"qid:-2585133819352441604"</x:f>
        <x:v>qid:-2585133819352441604</x:v>
      </x:c>
      <x:c r="D464" s="14" t="str">
        <x:v>Name of first episode of this is us?</x:v>
      </x:c>
      <x:c r="E464" t="str">
        <x:v>new_old</x:v>
      </x:c>
      <x:c r="F464" t="str">
        <x:v>new_new</x:v>
      </x:c>
      <x:c r="G464" s="34" t="n">
        <x:v>1</x:v>
      </x:c>
      <x:c r="H464" s="34" t="n">
        <x:v>1</x:v>
      </x:c>
      <x:c r="I464" s="34" t="n">
        <x:v>0</x:v>
      </x:c>
      <x:c r="J464" t="str">
        <x:v>unchanged</x:v>
      </x:c>
      <x:c r="K464" t="n">
        <x:v>1</x:v>
      </x:c>
      <x:c r="L464" t="n">
        <x:v>1</x:v>
      </x:c>
      <x:c r="M464" t="n">
        <x:v>1</x:v>
      </x:c>
      <x:c r="N464" t="n">
        <x:v>1</x:v>
      </x:c>
    </x:row>
    <x:row r="465">
      <x:c r="A465" t="str">
        <x:v>a2_new_minus_old_on_new_a1</x:v>
      </x:c>
      <x:c r="B465" t="str">
        <x:v>span_aligned</x:v>
      </x:c>
      <x:c r="C465" t="str">
        <x:f>"qid:-3228483207040151533"</x:f>
        <x:v>qid:-3228483207040151533</x:v>
      </x:c>
      <x:c r="D465" s="14" t="str">
        <x:v>What bodies of water surround cabo san lucas?</x:v>
      </x:c>
      <x:c r="E465" t="str">
        <x:v>new_old</x:v>
      </x:c>
      <x:c r="F465" t="str">
        <x:v>new_new</x:v>
      </x:c>
      <x:c r="G465" s="34" t="n">
        <x:v>1</x:v>
      </x:c>
      <x:c r="H465" s="34" t="n">
        <x:v>1</x:v>
      </x:c>
      <x:c r="I465" s="34" t="n">
        <x:v>0</x:v>
      </x:c>
      <x:c r="J465" t="str">
        <x:v>unchanged</x:v>
      </x:c>
      <x:c r="K465" t="n">
        <x:v>1</x:v>
      </x:c>
      <x:c r="L465" t="n">
        <x:v>1</x:v>
      </x:c>
      <x:c r="M465" t="n">
        <x:v>1</x:v>
      </x:c>
      <x:c r="N465" t="n">
        <x:v>1</x:v>
      </x:c>
    </x:row>
    <x:row r="466">
      <x:c r="A466" t="str">
        <x:v>a2_new_minus_old_on_new_a1</x:v>
      </x:c>
      <x:c r="B466" t="str">
        <x:v>span_aligned</x:v>
      </x:c>
      <x:c r="C466" t="str">
        <x:f>"qid:-3279585462082900736"</x:f>
        <x:v>qid:-3279585462082900736</x:v>
      </x:c>
      <x:c r="D466" s="14" t="str">
        <x:v>Who gets fired on grey's anatomy season 6?</x:v>
      </x:c>
      <x:c r="E466" t="str">
        <x:v>new_old</x:v>
      </x:c>
      <x:c r="F466" t="str">
        <x:v>new_new</x:v>
      </x:c>
      <x:c r="G466" s="34" t="n">
        <x:v>0</x:v>
      </x:c>
      <x:c r="H466" s="34" t="n">
        <x:v>0</x:v>
      </x:c>
      <x:c r="I466" s="34" t="n">
        <x:v>0</x:v>
      </x:c>
      <x:c r="J466" t="str">
        <x:v>unchanged</x:v>
      </x:c>
      <x:c r="K466" t="n">
        <x:v>0</x:v>
      </x:c>
      <x:c r="L466" t="n">
        <x:v>1</x:v>
      </x:c>
      <x:c r="M466" t="n">
        <x:v>0</x:v>
      </x:c>
      <x:c r="N466" t="n">
        <x:v>1</x:v>
      </x:c>
    </x:row>
    <x:row r="467">
      <x:c r="A467" t="str">
        <x:v>a2_new_minus_old_on_new_a1</x:v>
      </x:c>
      <x:c r="B467" t="str">
        <x:v>span_aligned</x:v>
      </x:c>
      <x:c r="C467" t="str">
        <x:f>"qid:-3344541168958463110"</x:f>
        <x:v>qid:-3344541168958463110</x:v>
      </x:c>
      <x:c r="D467" s="14" t="str">
        <x:v>Who fought with an angel in the bible?</x:v>
      </x:c>
      <x:c r="E467" t="str">
        <x:v>new_old</x:v>
      </x:c>
      <x:c r="F467" t="str">
        <x:v>new_new</x:v>
      </x:c>
      <x:c r="G467" s="34" t="n">
        <x:v>1</x:v>
      </x:c>
      <x:c r="H467" s="34" t="n">
        <x:v>0</x:v>
      </x:c>
      <x:c r="I467" s="34" t="n">
        <x:v>-1</x:v>
      </x:c>
      <x:c r="J467" t="str">
        <x:v>regressed</x:v>
      </x:c>
      <x:c r="K467" t="n">
        <x:v>1</x:v>
      </x:c>
      <x:c r="L467" t="n">
        <x:v>1</x:v>
      </x:c>
      <x:c r="M467" t="n">
        <x:v>0</x:v>
      </x:c>
      <x:c r="N467" t="n">
        <x:v>1</x:v>
      </x:c>
    </x:row>
    <x:row r="468">
      <x:c r="A468" t="str">
        <x:v>a2_new_minus_old_on_new_a1</x:v>
      </x:c>
      <x:c r="B468" t="str">
        <x:v>span_aligned</x:v>
      </x:c>
      <x:c r="C468" t="str">
        <x:f>"qid:-3904805932335139116"</x:f>
        <x:v>qid:-3904805932335139116</x:v>
      </x:c>
      <x:c r="D468" s="14" t="str">
        <x:v>What was the daughter's name on the jetsons?</x:v>
      </x:c>
      <x:c r="E468" t="str">
        <x:v>new_old</x:v>
      </x:c>
      <x:c r="F468" t="str">
        <x:v>new_new</x:v>
      </x:c>
      <x:c r="G468" s="34" t="n">
        <x:v>0</x:v>
      </x:c>
      <x:c r="H468" s="34" t="n">
        <x:v>0</x:v>
      </x:c>
      <x:c r="I468" s="34" t="n">
        <x:v>0</x:v>
      </x:c>
      <x:c r="J468" t="str">
        <x:v>unchanged</x:v>
      </x:c>
      <x:c r="K468" t="n">
        <x:v>0</x:v>
      </x:c>
      <x:c r="L468" t="n">
        <x:v>1</x:v>
      </x:c>
      <x:c r="M468" t="n">
        <x:v>0</x:v>
      </x:c>
      <x:c r="N468" t="n">
        <x:v>1</x:v>
      </x:c>
    </x:row>
    <x:row r="469">
      <x:c r="A469" t="str">
        <x:v>a2_new_minus_old_on_new_a1</x:v>
      </x:c>
      <x:c r="B469" t="str">
        <x:v>span_aligned</x:v>
      </x:c>
      <x:c r="C469" t="str">
        <x:f>"qid:-4286108617234818000"</x:f>
        <x:v>qid:-4286108617234818000</x:v>
      </x:c>
      <x:c r="D469" s="14" t="str">
        <x:v>When does the new super troopers movie come out?</x:v>
      </x:c>
      <x:c r="E469" t="str">
        <x:v>new_old</x:v>
      </x:c>
      <x:c r="F469" t="str">
        <x:v>new_new</x:v>
      </x:c>
      <x:c r="G469" s="34" t="n">
        <x:v>0</x:v>
      </x:c>
      <x:c r="H469" s="34" t="n">
        <x:v>0</x:v>
      </x:c>
      <x:c r="I469" s="34" t="n">
        <x:v>0</x:v>
      </x:c>
      <x:c r="J469" t="str">
        <x:v>unchanged</x:v>
      </x:c>
      <x:c r="K469" t="n">
        <x:v>0</x:v>
      </x:c>
      <x:c r="L469" t="n">
        <x:v>3</x:v>
      </x:c>
      <x:c r="M469" t="n">
        <x:v>0</x:v>
      </x:c>
      <x:c r="N469" t="n">
        <x:v>3</x:v>
      </x:c>
    </x:row>
    <x:row r="470">
      <x:c r="A470" t="str">
        <x:v>a2_new_minus_old_on_new_a1</x:v>
      </x:c>
      <x:c r="B470" t="str">
        <x:v>span_aligned</x:v>
      </x:c>
      <x:c r="C470" t="str">
        <x:f>"qid:-4456614433280196572"</x:f>
        <x:v>qid:-4456614433280196572</x:v>
      </x:c>
      <x:c r="D470" s="14" t="str">
        <x:v>What season does meredith and derek get married in grey's anatomy?</x:v>
      </x:c>
      <x:c r="E470" t="str">
        <x:v>new_old</x:v>
      </x:c>
      <x:c r="F470" t="str">
        <x:v>new_new</x:v>
      </x:c>
      <x:c r="G470" s="34" t="n">
        <x:v>1</x:v>
      </x:c>
      <x:c r="H470" s="34" t="n">
        <x:v>1</x:v>
      </x:c>
      <x:c r="I470" s="34" t="n">
        <x:v>0</x:v>
      </x:c>
      <x:c r="J470" t="str">
        <x:v>unchanged</x:v>
      </x:c>
      <x:c r="K470" t="n">
        <x:v>1</x:v>
      </x:c>
      <x:c r="L470" t="n">
        <x:v>1</x:v>
      </x:c>
      <x:c r="M470" t="n">
        <x:v>1</x:v>
      </x:c>
      <x:c r="N470" t="n">
        <x:v>1</x:v>
      </x:c>
    </x:row>
    <x:row r="471">
      <x:c r="A471" t="str">
        <x:v>a2_new_minus_old_on_new_a1</x:v>
      </x:c>
      <x:c r="B471" t="str">
        <x:v>span_aligned</x:v>
      </x:c>
      <x:c r="C471" t="str">
        <x:f>"qid:-447198893588059167"</x:f>
        <x:v>qid:-447198893588059167</x:v>
      </x:c>
      <x:c r="D471" s="14" t="str">
        <x:v>Who played the father in leave it to beaver?</x:v>
      </x:c>
      <x:c r="E471" t="str">
        <x:v>new_old</x:v>
      </x:c>
      <x:c r="F471" t="str">
        <x:v>new_new</x:v>
      </x:c>
      <x:c r="G471" s="34" t="n">
        <x:v>1</x:v>
      </x:c>
      <x:c r="H471" s="34" t="n">
        <x:v>1</x:v>
      </x:c>
      <x:c r="I471" s="34" t="n">
        <x:v>0</x:v>
      </x:c>
      <x:c r="J471" t="str">
        <x:v>unchanged</x:v>
      </x:c>
      <x:c r="K471" t="n">
        <x:v>1</x:v>
      </x:c>
      <x:c r="L471" t="n">
        <x:v>1</x:v>
      </x:c>
      <x:c r="M471" t="n">
        <x:v>1</x:v>
      </x:c>
      <x:c r="N471" t="n">
        <x:v>1</x:v>
      </x:c>
    </x:row>
    <x:row r="472">
      <x:c r="A472" t="str">
        <x:v>a2_new_minus_old_on_new_a1</x:v>
      </x:c>
      <x:c r="B472" t="str">
        <x:v>span_aligned</x:v>
      </x:c>
      <x:c r="C472" t="str">
        <x:f>"qid:-4649654703638364295"</x:f>
        <x:v>qid:-4649654703638364295</x:v>
      </x:c>
      <x:c r="D472" s="14" t="str">
        <x:v>Who made it through the divisional finals world of dance?</x:v>
      </x:c>
      <x:c r="E472" t="str">
        <x:v>new_old</x:v>
      </x:c>
      <x:c r="F472" t="str">
        <x:v>new_new</x:v>
      </x:c>
      <x:c r="G472" s="34" t="n">
        <x:v>1</x:v>
      </x:c>
      <x:c r="H472" s="34" t="n">
        <x:v>1</x:v>
      </x:c>
      <x:c r="I472" s="34" t="n">
        <x:v>0</x:v>
      </x:c>
      <x:c r="J472" t="str">
        <x:v>unchanged</x:v>
      </x:c>
      <x:c r="K472" t="n">
        <x:v>1</x:v>
      </x:c>
      <x:c r="L472" t="n">
        <x:v>1</x:v>
      </x:c>
      <x:c r="M472" t="n">
        <x:v>1</x:v>
      </x:c>
      <x:c r="N472" t="n">
        <x:v>1</x:v>
      </x:c>
    </x:row>
    <x:row r="473">
      <x:c r="A473" t="str">
        <x:v>a2_new_minus_old_on_new_a1</x:v>
      </x:c>
      <x:c r="B473" t="str">
        <x:v>span_aligned</x:v>
      </x:c>
      <x:c r="C473" t="str">
        <x:f>"qid:-4873786835306543030"</x:f>
        <x:v>qid:-4873786835306543030</x:v>
      </x:c>
      <x:c r="D473" s="14" t="str">
        <x:v>Who is the chief minister of m. p?</x:v>
      </x:c>
      <x:c r="E473" t="str">
        <x:v>new_old</x:v>
      </x:c>
      <x:c r="F473" t="str">
        <x:v>new_new</x:v>
      </x:c>
      <x:c r="G473" s="34" t="n">
        <x:v>1</x:v>
      </x:c>
      <x:c r="H473" s="34" t="n">
        <x:v>1</x:v>
      </x:c>
      <x:c r="I473" s="34" t="n">
        <x:v>0</x:v>
      </x:c>
      <x:c r="J473" t="str">
        <x:v>unchanged</x:v>
      </x:c>
      <x:c r="K473" t="n">
        <x:v>1</x:v>
      </x:c>
      <x:c r="L473" t="n">
        <x:v>1</x:v>
      </x:c>
      <x:c r="M473" t="n">
        <x:v>1</x:v>
      </x:c>
      <x:c r="N473" t="n">
        <x:v>1</x:v>
      </x:c>
    </x:row>
    <x:row r="474">
      <x:c r="A474" t="str">
        <x:v>a2_new_minus_old_on_new_a1</x:v>
      </x:c>
      <x:c r="B474" t="str">
        <x:v>span_aligned</x:v>
      </x:c>
      <x:c r="C474" t="str">
        <x:f>"qid:-4995398567532229571"</x:f>
        <x:v>qid:-4995398567532229571</x:v>
      </x:c>
      <x:c r="D474" s="14" t="str">
        <x:v>When did ragtime flourished in the united states?</x:v>
      </x:c>
      <x:c r="E474" t="str">
        <x:v>new_old</x:v>
      </x:c>
      <x:c r="F474" t="str">
        <x:v>new_new</x:v>
      </x:c>
      <x:c r="G474" s="34" t="n">
        <x:v>1</x:v>
      </x:c>
      <x:c r="H474" s="34" t="n">
        <x:v>1</x:v>
      </x:c>
      <x:c r="I474" s="34" t="n">
        <x:v>0</x:v>
      </x:c>
      <x:c r="J474" t="str">
        <x:v>unchanged</x:v>
      </x:c>
      <x:c r="K474" t="n">
        <x:v>1</x:v>
      </x:c>
      <x:c r="L474" t="n">
        <x:v>1</x:v>
      </x:c>
      <x:c r="M474" t="n">
        <x:v>1</x:v>
      </x:c>
      <x:c r="N474" t="n">
        <x:v>1</x:v>
      </x:c>
    </x:row>
    <x:row r="475">
      <x:c r="A475" t="str">
        <x:v>a2_new_minus_old_on_new_a1</x:v>
      </x:c>
      <x:c r="B475" t="str">
        <x:v>span_aligned</x:v>
      </x:c>
      <x:c r="C475" t="str">
        <x:f>"qid:-5036947181661390825"</x:f>
        <x:v>qid:-5036947181661390825</x:v>
      </x:c>
      <x:c r="D475" s="14" t="str">
        <x:v>When was the vietnam veterans war memorial built?</x:v>
      </x:c>
      <x:c r="E475" t="str">
        <x:v>new_old</x:v>
      </x:c>
      <x:c r="F475" t="str">
        <x:v>new_new</x:v>
      </x:c>
      <x:c r="G475" s="34" t="n">
        <x:v>1</x:v>
      </x:c>
      <x:c r="H475" s="34" t="n">
        <x:v>1</x:v>
      </x:c>
      <x:c r="I475" s="34" t="n">
        <x:v>0</x:v>
      </x:c>
      <x:c r="J475" t="str">
        <x:v>unchanged</x:v>
      </x:c>
      <x:c r="K475" t="n">
        <x:v>1</x:v>
      </x:c>
      <x:c r="L475" t="n">
        <x:v>1</x:v>
      </x:c>
      <x:c r="M475" t="n">
        <x:v>1</x:v>
      </x:c>
      <x:c r="N475" t="n">
        <x:v>1</x:v>
      </x:c>
    </x:row>
    <x:row r="476">
      <x:c r="A476" t="str">
        <x:v>a2_new_minus_old_on_new_a1</x:v>
      </x:c>
      <x:c r="B476" t="str">
        <x:v>span_aligned</x:v>
      </x:c>
      <x:c r="C476" t="str">
        <x:f>"qid:-5116644172939113883"</x:f>
        <x:v>qid:-5116644172939113883</x:v>
      </x:c>
      <x:c r="D476" s="14" t="str">
        <x:v>Who raps in the gorillaz song clint eastwood?</x:v>
      </x:c>
      <x:c r="E476" t="str">
        <x:v>new_old</x:v>
      </x:c>
      <x:c r="F476" t="str">
        <x:v>new_new</x:v>
      </x:c>
      <x:c r="G476" s="34" t="n">
        <x:v>1</x:v>
      </x:c>
      <x:c r="H476" s="34" t="n">
        <x:v>1</x:v>
      </x:c>
      <x:c r="I476" s="34" t="n">
        <x:v>0</x:v>
      </x:c>
      <x:c r="J476" t="str">
        <x:v>unchanged</x:v>
      </x:c>
      <x:c r="K476" t="n">
        <x:v>1</x:v>
      </x:c>
      <x:c r="L476" t="n">
        <x:v>1</x:v>
      </x:c>
      <x:c r="M476" t="n">
        <x:v>1</x:v>
      </x:c>
      <x:c r="N476" t="n">
        <x:v>1</x:v>
      </x:c>
    </x:row>
    <x:row r="477">
      <x:c r="A477" t="str">
        <x:v>a2_new_minus_old_on_new_a1</x:v>
      </x:c>
      <x:c r="B477" t="str">
        <x:v>span_aligned</x:v>
      </x:c>
      <x:c r="C477" t="str">
        <x:f>"qid:-5333049627570569397"</x:f>
        <x:v>qid:-5333049627570569397</x:v>
      </x:c>
      <x:c r="D477" s="14" t="str">
        <x:v>When did the song can't touch this come out?</x:v>
      </x:c>
      <x:c r="E477" t="str">
        <x:v>new_old</x:v>
      </x:c>
      <x:c r="F477" t="str">
        <x:v>new_new</x:v>
      </x:c>
      <x:c r="G477" s="34" t="n">
        <x:v>1</x:v>
      </x:c>
      <x:c r="H477" s="34" t="n">
        <x:v>1</x:v>
      </x:c>
      <x:c r="I477" s="34" t="n">
        <x:v>0</x:v>
      </x:c>
      <x:c r="J477" t="str">
        <x:v>unchanged</x:v>
      </x:c>
      <x:c r="K477" t="n">
        <x:v>1</x:v>
      </x:c>
      <x:c r="L477" t="n">
        <x:v>1</x:v>
      </x:c>
      <x:c r="M477" t="n">
        <x:v>1</x:v>
      </x:c>
      <x:c r="N477" t="n">
        <x:v>1</x:v>
      </x:c>
    </x:row>
    <x:row r="478">
      <x:c r="A478" t="str">
        <x:v>a2_new_minus_old_on_new_a1</x:v>
      </x:c>
      <x:c r="B478" t="str">
        <x:v>span_aligned</x:v>
      </x:c>
      <x:c r="C478" t="str">
        <x:f>"qid:-5564120845047915486"</x:f>
        <x:v>qid:-5564120845047915486</x:v>
      </x:c>
      <x:c r="D478" s="14" t="str">
        <x:v>Where do you find a simple gear train?</x:v>
      </x:c>
      <x:c r="E478" t="str">
        <x:v>new_old</x:v>
      </x:c>
      <x:c r="F478" t="str">
        <x:v>new_new</x:v>
      </x:c>
      <x:c r="G478" s="34" t="n">
        <x:v>1</x:v>
      </x:c>
      <x:c r="H478" s="34" t="n">
        <x:v>1</x:v>
      </x:c>
      <x:c r="I478" s="34" t="n">
        <x:v>0</x:v>
      </x:c>
      <x:c r="J478" t="str">
        <x:v>unchanged</x:v>
      </x:c>
      <x:c r="K478" t="n">
        <x:v>1</x:v>
      </x:c>
      <x:c r="L478" t="n">
        <x:v>1</x:v>
      </x:c>
      <x:c r="M478" t="n">
        <x:v>1</x:v>
      </x:c>
      <x:c r="N478" t="n">
        <x:v>1</x:v>
      </x:c>
    </x:row>
    <x:row r="479">
      <x:c r="A479" t="str">
        <x:v>a2_new_minus_old_on_new_a1</x:v>
      </x:c>
      <x:c r="B479" t="str">
        <x:v>span_aligned</x:v>
      </x:c>
      <x:c r="C479" t="str">
        <x:f>"qid:-5842265707961388968"</x:f>
        <x:v>qid:-5842265707961388968</x:v>
      </x:c>
      <x:c r="D479" s="14" t="str">
        <x:v>Who beat villanova last year in the ncaa tournament?</x:v>
      </x:c>
      <x:c r="E479" t="str">
        <x:v>new_old</x:v>
      </x:c>
      <x:c r="F479" t="str">
        <x:v>new_new</x:v>
      </x:c>
      <x:c r="G479" s="34" t="n">
        <x:v>1</x:v>
      </x:c>
      <x:c r="H479" s="34" t="n">
        <x:v>1</x:v>
      </x:c>
      <x:c r="I479" s="34" t="n">
        <x:v>0</x:v>
      </x:c>
      <x:c r="J479" t="str">
        <x:v>unchanged</x:v>
      </x:c>
      <x:c r="K479" t="n">
        <x:v>1</x:v>
      </x:c>
      <x:c r="L479" t="n">
        <x:v>1</x:v>
      </x:c>
      <x:c r="M479" t="n">
        <x:v>1</x:v>
      </x:c>
      <x:c r="N479" t="n">
        <x:v>1</x:v>
      </x:c>
    </x:row>
    <x:row r="480">
      <x:c r="A480" t="str">
        <x:v>a2_new_minus_old_on_new_a1</x:v>
      </x:c>
      <x:c r="B480" t="str">
        <x:v>span_aligned</x:v>
      </x:c>
      <x:c r="C480" t="str">
        <x:f>"qid:-5942352520455511076"</x:f>
        <x:v>qid:-5942352520455511076</x:v>
      </x:c>
      <x:c r="D480" s="14" t="str">
        <x:v>Where can adipose tissue be found in the body?</x:v>
      </x:c>
      <x:c r="E480" t="str">
        <x:v>new_old</x:v>
      </x:c>
      <x:c r="F480" t="str">
        <x:v>new_new</x:v>
      </x:c>
      <x:c r="G480" s="34" t="n">
        <x:v>1</x:v>
      </x:c>
      <x:c r="H480" s="34" t="n">
        <x:v>1</x:v>
      </x:c>
      <x:c r="I480" s="34" t="n">
        <x:v>0</x:v>
      </x:c>
      <x:c r="J480" t="str">
        <x:v>unchanged</x:v>
      </x:c>
      <x:c r="K480" t="n">
        <x:v>2</x:v>
      </x:c>
      <x:c r="L480" t="n">
        <x:v>2</x:v>
      </x:c>
      <x:c r="M480" t="n">
        <x:v>5</x:v>
      </x:c>
      <x:c r="N480" t="n">
        <x:v>5</x:v>
      </x:c>
    </x:row>
    <x:row r="481">
      <x:c r="A481" t="str">
        <x:v>a2_new_minus_old_on_new_a1</x:v>
      </x:c>
      <x:c r="B481" t="str">
        <x:v>span_aligned</x:v>
      </x:c>
      <x:c r="C481" t="str">
        <x:f>"qid:-62521546794442829"</x:f>
        <x:v>qid:-62521546794442829</x:v>
      </x:c>
      <x:c r="D481" s="14" t="str">
        <x:v>For whom was the battle of king's mountain a victory?</x:v>
      </x:c>
      <x:c r="E481" t="str">
        <x:v>new_old</x:v>
      </x:c>
      <x:c r="F481" t="str">
        <x:v>new_new</x:v>
      </x:c>
      <x:c r="G481" s="34" t="n">
        <x:v>1</x:v>
      </x:c>
      <x:c r="H481" s="34" t="n">
        <x:v>1</x:v>
      </x:c>
      <x:c r="I481" s="34" t="n">
        <x:v>0</x:v>
      </x:c>
      <x:c r="J481" t="str">
        <x:v>unchanged</x:v>
      </x:c>
      <x:c r="K481" t="n">
        <x:v>1</x:v>
      </x:c>
      <x:c r="L481" t="n">
        <x:v>1</x:v>
      </x:c>
      <x:c r="M481" t="n">
        <x:v>1</x:v>
      </x:c>
      <x:c r="N481" t="n">
        <x:v>1</x:v>
      </x:c>
    </x:row>
    <x:row r="482">
      <x:c r="A482" t="str">
        <x:v>a2_new_minus_old_on_new_a1</x:v>
      </x:c>
      <x:c r="B482" t="str">
        <x:v>span_aligned</x:v>
      </x:c>
      <x:c r="C482" t="str">
        <x:f>"qid:-6702031255040326279"</x:f>
        <x:v>qid:-6702031255040326279</x:v>
      </x:c>
      <x:c r="D482" s="14" t="str">
        <x:v>Which of the animal is a carrier of h1n1?</x:v>
      </x:c>
      <x:c r="E482" t="str">
        <x:v>new_old</x:v>
      </x:c>
      <x:c r="F482" t="str">
        <x:v>new_new</x:v>
      </x:c>
      <x:c r="G482" s="34" t="n">
        <x:v>1</x:v>
      </x:c>
      <x:c r="H482" s="34" t="n">
        <x:v>1</x:v>
      </x:c>
      <x:c r="I482" s="34" t="n">
        <x:v>0</x:v>
      </x:c>
      <x:c r="J482" t="str">
        <x:v>unchanged</x:v>
      </x:c>
      <x:c r="K482" t="n">
        <x:v>1</x:v>
      </x:c>
      <x:c r="L482" t="n">
        <x:v>1</x:v>
      </x:c>
      <x:c r="M482" t="n">
        <x:v>1</x:v>
      </x:c>
      <x:c r="N482" t="n">
        <x:v>1</x:v>
      </x:c>
    </x:row>
    <x:row r="483">
      <x:c r="A483" t="str">
        <x:v>a2_new_minus_old_on_new_a1</x:v>
      </x:c>
      <x:c r="B483" t="str">
        <x:v>span_aligned</x:v>
      </x:c>
      <x:c r="C483" t="str">
        <x:f>"qid:-728189424752983312"</x:f>
        <x:v>qid:-728189424752983312</x:v>
      </x:c>
      <x:c r="D483" s="14" t="str">
        <x:v>Where did the term bye felicia come from?</x:v>
      </x:c>
      <x:c r="E483" t="str">
        <x:v>new_old</x:v>
      </x:c>
      <x:c r="F483" t="str">
        <x:v>new_new</x:v>
      </x:c>
      <x:c r="G483" s="34" t="n">
        <x:v>1</x:v>
      </x:c>
      <x:c r="H483" s="34" t="n">
        <x:v>1</x:v>
      </x:c>
      <x:c r="I483" s="34" t="n">
        <x:v>0</x:v>
      </x:c>
      <x:c r="J483" t="str">
        <x:v>unchanged</x:v>
      </x:c>
      <x:c r="K483" t="n">
        <x:v>1</x:v>
      </x:c>
      <x:c r="L483" t="n">
        <x:v>1</x:v>
      </x:c>
      <x:c r="M483" t="n">
        <x:v>1</x:v>
      </x:c>
      <x:c r="N483" t="n">
        <x:v>1</x:v>
      </x:c>
    </x:row>
    <x:row r="484">
      <x:c r="A484" t="str">
        <x:v>a2_new_minus_old_on_new_a1</x:v>
      </x:c>
      <x:c r="B484" t="str">
        <x:v>span_aligned</x:v>
      </x:c>
      <x:c r="C484" t="str">
        <x:f>"qid:-7699606393193219666"</x:f>
        <x:v>qid:-7699606393193219666</x:v>
      </x:c>
      <x:c r="D484" s="14" t="str">
        <x:v>Who played cowboy curtis on pee wee herman?</x:v>
      </x:c>
      <x:c r="E484" t="str">
        <x:v>new_old</x:v>
      </x:c>
      <x:c r="F484" t="str">
        <x:v>new_new</x:v>
      </x:c>
      <x:c r="G484" s="34" t="n">
        <x:v>1</x:v>
      </x:c>
      <x:c r="H484" s="34" t="n">
        <x:v>1</x:v>
      </x:c>
      <x:c r="I484" s="34" t="n">
        <x:v>0</x:v>
      </x:c>
      <x:c r="J484" t="str">
        <x:v>unchanged</x:v>
      </x:c>
      <x:c r="K484" t="n">
        <x:v>1</x:v>
      </x:c>
      <x:c r="L484" t="n">
        <x:v>1</x:v>
      </x:c>
      <x:c r="M484" t="n">
        <x:v>1</x:v>
      </x:c>
      <x:c r="N484" t="n">
        <x:v>1</x:v>
      </x:c>
    </x:row>
    <x:row r="485">
      <x:c r="A485" t="str">
        <x:v>a2_new_minus_old_on_new_a1</x:v>
      </x:c>
      <x:c r="B485" t="str">
        <x:v>span_aligned</x:v>
      </x:c>
      <x:c r="C485" t="str">
        <x:f>"qid:-7824075627194227170"</x:f>
        <x:v>qid:-7824075627194227170</x:v>
      </x:c>
      <x:c r="D485" s="14" t="str">
        <x:v>When was the commission fir sc/st established?</x:v>
      </x:c>
      <x:c r="E485" t="str">
        <x:v>new_old</x:v>
      </x:c>
      <x:c r="F485" t="str">
        <x:v>new_new</x:v>
      </x:c>
      <x:c r="G485" s="34" t="n">
        <x:v>1</x:v>
      </x:c>
      <x:c r="H485" s="34" t="n">
        <x:v>1</x:v>
      </x:c>
      <x:c r="I485" s="34" t="n">
        <x:v>0</x:v>
      </x:c>
      <x:c r="J485" t="str">
        <x:v>unchanged</x:v>
      </x:c>
      <x:c r="K485" t="n">
        <x:v>1</x:v>
      </x:c>
      <x:c r="L485" t="n">
        <x:v>1</x:v>
      </x:c>
      <x:c r="M485" t="n">
        <x:v>1</x:v>
      </x:c>
      <x:c r="N485" t="n">
        <x:v>1</x:v>
      </x:c>
    </x:row>
    <x:row r="486">
      <x:c r="A486" t="str">
        <x:v>a2_new_minus_old_on_new_a1</x:v>
      </x:c>
      <x:c r="B486" t="str">
        <x:v>span_aligned</x:v>
      </x:c>
      <x:c r="C486" t="str">
        <x:f>"qid:-8286966211355378010"</x:f>
        <x:v>qid:-8286966211355378010</x:v>
      </x:c>
      <x:c r="D486" s="14" t="str">
        <x:v>What is the objective of tour de france?</x:v>
      </x:c>
      <x:c r="E486" t="str">
        <x:v>new_old</x:v>
      </x:c>
      <x:c r="F486" t="str">
        <x:v>new_new</x:v>
      </x:c>
      <x:c r="G486" s="34" t="n">
        <x:v>0.3333333333333333</x:v>
      </x:c>
      <x:c r="H486" s="34" t="n">
        <x:v>0.6666666666666666</x:v>
      </x:c>
      <x:c r="I486" s="34" t="n">
        <x:v>0.3333333333333333</x:v>
      </x:c>
      <x:c r="J486" t="str">
        <x:v>improved</x:v>
      </x:c>
      <x:c r="K486" t="n">
        <x:v>1</x:v>
      </x:c>
      <x:c r="L486" t="n">
        <x:v>3</x:v>
      </x:c>
      <x:c r="M486" t="n">
        <x:v>2</x:v>
      </x:c>
      <x:c r="N486" t="n">
        <x:v>3</x:v>
      </x:c>
    </x:row>
    <x:row r="487">
      <x:c r="A487" t="str">
        <x:v>a2_new_minus_old_on_new_a1</x:v>
      </x:c>
      <x:c r="B487" t="str">
        <x:v>span_aligned</x:v>
      </x:c>
      <x:c r="C487" t="str">
        <x:f>"qid:-9141149438582194391"</x:f>
        <x:v>qid:-9141149438582194391</x:v>
      </x:c>
      <x:c r="D487" s="14" t="str">
        <x:v>Who has scored the highest number of runs in test cricket?</x:v>
      </x:c>
      <x:c r="E487" t="str">
        <x:v>new_old</x:v>
      </x:c>
      <x:c r="F487" t="str">
        <x:v>new_new</x:v>
      </x:c>
      <x:c r="G487" s="34" t="n">
        <x:v>0.5</x:v>
      </x:c>
      <x:c r="H487" s="34" t="n">
        <x:v>0.5</x:v>
      </x:c>
      <x:c r="I487" s="34" t="n">
        <x:v>0</x:v>
      </x:c>
      <x:c r="J487" t="str">
        <x:v>unchanged</x:v>
      </x:c>
      <x:c r="K487" t="n">
        <x:v>1</x:v>
      </x:c>
      <x:c r="L487" t="n">
        <x:v>2</x:v>
      </x:c>
      <x:c r="M487" t="n">
        <x:v>1</x:v>
      </x:c>
      <x:c r="N487" t="n">
        <x:v>2</x:v>
      </x:c>
    </x:row>
    <x:row r="488">
      <x:c r="A488" t="str">
        <x:v>a2_new_minus_old_on_new_a1</x:v>
      </x:c>
      <x:c r="B488" t="str">
        <x:v>span_aligned</x:v>
      </x:c>
      <x:c r="C488" t="str">
        <x:f>"qid:-99543908387769967"</x:f>
        <x:v>qid:-99543908387769967</x:v>
      </x:c>
      <x:c r="D488" s="14" t="str">
        <x:v>Who does sansa marry on game of thrones?</x:v>
      </x:c>
      <x:c r="E488" t="str">
        <x:v>new_old</x:v>
      </x:c>
      <x:c r="F488" t="str">
        <x:v>new_new</x:v>
      </x:c>
      <x:c r="G488" s="34" t="n">
        <x:v>0</x:v>
      </x:c>
      <x:c r="H488" s="34" t="n">
        <x:v>0</x:v>
      </x:c>
      <x:c r="I488" s="34" t="n">
        <x:v>0</x:v>
      </x:c>
      <x:c r="J488" t="str">
        <x:v>unchanged</x:v>
      </x:c>
      <x:c r="K488" t="n">
        <x:v>0</x:v>
      </x:c>
      <x:c r="L488" t="n">
        <x:v>1</x:v>
      </x:c>
      <x:c r="M488" t="n">
        <x:v>0</x:v>
      </x:c>
      <x:c r="N488" t="n">
        <x:v>1</x:v>
      </x:c>
    </x:row>
    <x:row r="489">
      <x:c r="A489" t="str">
        <x:v>a2_new_minus_old_on_new_a1</x:v>
      </x:c>
      <x:c r="B489" t="str">
        <x:v>span_aligned</x:v>
      </x:c>
      <x:c r="C489" t="str">
        <x:f>"qid:16881061444712536"</x:f>
        <x:v>qid:16881061444712536</x:v>
      </x:c>
      <x:c r="D489" s="14" t="str">
        <x:v>Where does the amazon river start and finish?</x:v>
      </x:c>
      <x:c r="E489" t="str">
        <x:v>new_old</x:v>
      </x:c>
      <x:c r="F489" t="str">
        <x:v>new_new</x:v>
      </x:c>
      <x:c r="G489" s="34" t="n">
        <x:v>1</x:v>
      </x:c>
      <x:c r="H489" s="34" t="n">
        <x:v>1</x:v>
      </x:c>
      <x:c r="I489" s="34" t="n">
        <x:v>0</x:v>
      </x:c>
      <x:c r="J489" t="str">
        <x:v>unchanged</x:v>
      </x:c>
      <x:c r="K489" t="n">
        <x:v>2</x:v>
      </x:c>
      <x:c r="L489" t="n">
        <x:v>2</x:v>
      </x:c>
      <x:c r="M489" t="n">
        <x:v>2</x:v>
      </x:c>
      <x:c r="N489" t="n">
        <x:v>2</x:v>
      </x:c>
    </x:row>
    <x:row r="490">
      <x:c r="A490" t="str">
        <x:v>a2_new_minus_old_on_new_a1</x:v>
      </x:c>
      <x:c r="B490" t="str">
        <x:v>span_aligned</x:v>
      </x:c>
      <x:c r="C490" t="str">
        <x:f>"qid:1763163294931046731"</x:f>
        <x:v>qid:1763163294931046731</x:v>
      </x:c>
      <x:c r="D490" s="14" t="str">
        <x:v>Who played violet rutherford on leave it to beaver?</x:v>
      </x:c>
      <x:c r="E490" t="str">
        <x:v>new_old</x:v>
      </x:c>
      <x:c r="F490" t="str">
        <x:v>new_new</x:v>
      </x:c>
      <x:c r="G490" s="34" t="n">
        <x:v>1</x:v>
      </x:c>
      <x:c r="H490" s="34" t="n">
        <x:v>1</x:v>
      </x:c>
      <x:c r="I490" s="34" t="n">
        <x:v>0</x:v>
      </x:c>
      <x:c r="J490" t="str">
        <x:v>unchanged</x:v>
      </x:c>
      <x:c r="K490" t="n">
        <x:v>1</x:v>
      </x:c>
      <x:c r="L490" t="n">
        <x:v>1</x:v>
      </x:c>
      <x:c r="M490" t="n">
        <x:v>1</x:v>
      </x:c>
      <x:c r="N490" t="n">
        <x:v>1</x:v>
      </x:c>
    </x:row>
    <x:row r="491">
      <x:c r="A491" t="str">
        <x:v>a2_new_minus_old_on_new_a1</x:v>
      </x:c>
      <x:c r="B491" t="str">
        <x:v>span_aligned</x:v>
      </x:c>
      <x:c r="C491" t="str">
        <x:f>"qid:2221044921312683785"</x:f>
        <x:v>qid:2221044921312683785</x:v>
      </x:c>
      <x:c r="D491" s="14" t="str">
        <x:v>When did the apple tv 4k come out?</x:v>
      </x:c>
      <x:c r="E491" t="str">
        <x:v>new_old</x:v>
      </x:c>
      <x:c r="F491" t="str">
        <x:v>new_new</x:v>
      </x:c>
      <x:c r="G491" s="34" t="n">
        <x:v>1</x:v>
      </x:c>
      <x:c r="H491" s="34" t="n">
        <x:v>1</x:v>
      </x:c>
      <x:c r="I491" s="34" t="n">
        <x:v>0</x:v>
      </x:c>
      <x:c r="J491" t="str">
        <x:v>unchanged</x:v>
      </x:c>
      <x:c r="K491" t="n">
        <x:v>1</x:v>
      </x:c>
      <x:c r="L491" t="n">
        <x:v>1</x:v>
      </x:c>
      <x:c r="M491" t="n">
        <x:v>1</x:v>
      </x:c>
      <x:c r="N491" t="n">
        <x:v>1</x:v>
      </x:c>
    </x:row>
    <x:row r="492">
      <x:c r="A492" t="str">
        <x:v>a2_new_minus_old_on_new_a1</x:v>
      </x:c>
      <x:c r="B492" t="str">
        <x:v>span_aligned</x:v>
      </x:c>
      <x:c r="C492" t="str">
        <x:f>"qid:2469112227919120438"</x:f>
        <x:v>qid:2469112227919120438</x:v>
      </x:c>
      <x:c r="D492" s="14" t="str">
        <x:v>The creation of the senate was based on the?</x:v>
      </x:c>
      <x:c r="E492" t="str">
        <x:v>new_old</x:v>
      </x:c>
      <x:c r="F492" t="str">
        <x:v>new_new</x:v>
      </x:c>
      <x:c r="G492" s="34" t="n">
        <x:v>1</x:v>
      </x:c>
      <x:c r="H492" s="34" t="n">
        <x:v>1</x:v>
      </x:c>
      <x:c r="I492" s="34" t="n">
        <x:v>0</x:v>
      </x:c>
      <x:c r="J492" t="str">
        <x:v>unchanged</x:v>
      </x:c>
      <x:c r="K492" t="n">
        <x:v>1</x:v>
      </x:c>
      <x:c r="L492" t="n">
        <x:v>1</x:v>
      </x:c>
      <x:c r="M492" t="n">
        <x:v>1</x:v>
      </x:c>
      <x:c r="N492" t="n">
        <x:v>1</x:v>
      </x:c>
    </x:row>
    <x:row r="493">
      <x:c r="A493" t="str">
        <x:v>a2_new_minus_old_on_new_a1</x:v>
      </x:c>
      <x:c r="B493" t="str">
        <x:v>span_aligned</x:v>
      </x:c>
      <x:c r="C493" t="str">
        <x:f>"qid:3605104154738105404"</x:f>
        <x:v>qid:3605104154738105404</x:v>
      </x:c>
      <x:c r="D493" s="14" t="str">
        <x:v>What episode does jason gideon die in criminal minds?</x:v>
      </x:c>
      <x:c r="E493" t="str">
        <x:v>new_old</x:v>
      </x:c>
      <x:c r="F493" t="str">
        <x:v>new_new</x:v>
      </x:c>
      <x:c r="G493" s="34" t="n">
        <x:v>1</x:v>
      </x:c>
      <x:c r="H493" s="34" t="n">
        <x:v>1</x:v>
      </x:c>
      <x:c r="I493" s="34" t="n">
        <x:v>0</x:v>
      </x:c>
      <x:c r="J493" t="str">
        <x:v>unchanged</x:v>
      </x:c>
      <x:c r="K493" t="n">
        <x:v>1</x:v>
      </x:c>
      <x:c r="L493" t="n">
        <x:v>1</x:v>
      </x:c>
      <x:c r="M493" t="n">
        <x:v>1</x:v>
      </x:c>
      <x:c r="N493" t="n">
        <x:v>1</x:v>
      </x:c>
    </x:row>
    <x:row r="494">
      <x:c r="A494" t="str">
        <x:v>a2_new_minus_old_on_new_a1</x:v>
      </x:c>
      <x:c r="B494" t="str">
        <x:v>span_aligned</x:v>
      </x:c>
      <x:c r="C494" t="str">
        <x:f>"qid:3643093465010420057"</x:f>
        <x:v>qid:3643093465010420057</x:v>
      </x:c>
      <x:c r="D494" s="14" t="str">
        <x:v>What city in texas has the highest elevation?</x:v>
      </x:c>
      <x:c r="E494" t="str">
        <x:v>new_old</x:v>
      </x:c>
      <x:c r="F494" t="str">
        <x:v>new_new</x:v>
      </x:c>
      <x:c r="G494" s="34" t="n">
        <x:v>0.5</x:v>
      </x:c>
      <x:c r="H494" s="34" t="n">
        <x:v>0.5</x:v>
      </x:c>
      <x:c r="I494" s="34" t="n">
        <x:v>0</x:v>
      </x:c>
      <x:c r="J494" t="str">
        <x:v>unchanged</x:v>
      </x:c>
      <x:c r="K494" t="n">
        <x:v>1</x:v>
      </x:c>
      <x:c r="L494" t="n">
        <x:v>2</x:v>
      </x:c>
      <x:c r="M494" t="n">
        <x:v>1</x:v>
      </x:c>
      <x:c r="N494" t="n">
        <x:v>2</x:v>
      </x:c>
    </x:row>
    <x:row r="495">
      <x:c r="A495" t="str">
        <x:v>a2_new_minus_old_on_new_a1</x:v>
      </x:c>
      <x:c r="B495" t="str">
        <x:v>span_aligned</x:v>
      </x:c>
      <x:c r="C495" t="str">
        <x:f>"qid:4150448921344430432"</x:f>
        <x:v>qid:4150448921344430432</x:v>
      </x:c>
      <x:c r="D495" s="14" t="str">
        <x:v>Who were the original twins in everybody loves raymond?</x:v>
      </x:c>
      <x:c r="E495" t="str">
        <x:v>new_old</x:v>
      </x:c>
      <x:c r="F495" t="str">
        <x:v>new_new</x:v>
      </x:c>
      <x:c r="G495" s="34" t="n">
        <x:v>0</x:v>
      </x:c>
      <x:c r="H495" s="34" t="n">
        <x:v>0</x:v>
      </x:c>
      <x:c r="I495" s="34" t="n">
        <x:v>0</x:v>
      </x:c>
      <x:c r="J495" t="str">
        <x:v>unchanged</x:v>
      </x:c>
      <x:c r="K495" t="n">
        <x:v>0</x:v>
      </x:c>
      <x:c r="L495" t="n">
        <x:v>1</x:v>
      </x:c>
      <x:c r="M495" t="n">
        <x:v>0</x:v>
      </x:c>
      <x:c r="N495" t="n">
        <x:v>1</x:v>
      </x:c>
    </x:row>
    <x:row r="496">
      <x:c r="A496" t="str">
        <x:v>a2_new_minus_old_on_new_a1</x:v>
      </x:c>
      <x:c r="B496" t="str">
        <x:v>span_aligned</x:v>
      </x:c>
      <x:c r="C496" t="str">
        <x:f>"qid:4183252176965080529"</x:f>
        <x:v>qid:4183252176965080529</x:v>
      </x:c>
      <x:c r="D496" s="14" t="str">
        <x:v>When does the new independence day come out?</x:v>
      </x:c>
      <x:c r="E496" t="str">
        <x:v>new_old</x:v>
      </x:c>
      <x:c r="F496" t="str">
        <x:v>new_new</x:v>
      </x:c>
      <x:c r="G496" s="34" t="n">
        <x:v>0</x:v>
      </x:c>
      <x:c r="H496" s="34" t="n">
        <x:v>0</x:v>
      </x:c>
      <x:c r="I496" s="34" t="n">
        <x:v>0</x:v>
      </x:c>
      <x:c r="J496" t="str">
        <x:v>unchanged</x:v>
      </x:c>
      <x:c r="K496" t="n">
        <x:v>0</x:v>
      </x:c>
      <x:c r="L496" t="n">
        <x:v>1</x:v>
      </x:c>
      <x:c r="M496" t="n">
        <x:v>0</x:v>
      </x:c>
      <x:c r="N496" t="n">
        <x:v>1</x:v>
      </x:c>
    </x:row>
    <x:row r="497">
      <x:c r="A497" t="str">
        <x:v>a2_new_minus_old_on_new_a1</x:v>
      </x:c>
      <x:c r="B497" t="str">
        <x:v>span_aligned</x:v>
      </x:c>
      <x:c r="C497" t="str">
        <x:f>"qid:4474597907223412132"</x:f>
        <x:v>qid:4474597907223412132</x:v>
      </x:c>
      <x:c r="D497" s="14" t="str">
        <x:v>Who were the two astronauts who stayed a year on the iss?</x:v>
      </x:c>
      <x:c r="E497" t="str">
        <x:v>new_old</x:v>
      </x:c>
      <x:c r="F497" t="str">
        <x:v>new_new</x:v>
      </x:c>
      <x:c r="G497" s="34" t="n">
        <x:v>1</x:v>
      </x:c>
      <x:c r="H497" s="34" t="n">
        <x:v>1</x:v>
      </x:c>
      <x:c r="I497" s="34" t="n">
        <x:v>0</x:v>
      </x:c>
      <x:c r="J497" t="str">
        <x:v>unchanged</x:v>
      </x:c>
      <x:c r="K497" t="n">
        <x:v>1</x:v>
      </x:c>
      <x:c r="L497" t="n">
        <x:v>1</x:v>
      </x:c>
      <x:c r="M497" t="n">
        <x:v>1</x:v>
      </x:c>
      <x:c r="N497" t="n">
        <x:v>1</x:v>
      </x:c>
    </x:row>
    <x:row r="498">
      <x:c r="A498" t="str">
        <x:v>a2_new_minus_old_on_new_a1</x:v>
      </x:c>
      <x:c r="B498" t="str">
        <x:v>span_aligned</x:v>
      </x:c>
      <x:c r="C498" t="str">
        <x:f>"qid:586233275728240023"</x:f>
        <x:v>qid:586233275728240023</x:v>
      </x:c>
      <x:c r="D498" s="14" t="str">
        <x:v>What is the os of samsung smart tv?</x:v>
      </x:c>
      <x:c r="E498" t="str">
        <x:v>new_old</x:v>
      </x:c>
      <x:c r="F498" t="str">
        <x:v>new_new</x:v>
      </x:c>
      <x:c r="G498" s="34" t="n">
        <x:v>1</x:v>
      </x:c>
      <x:c r="H498" s="34" t="n">
        <x:v>1</x:v>
      </x:c>
      <x:c r="I498" s="34" t="n">
        <x:v>0</x:v>
      </x:c>
      <x:c r="J498" t="str">
        <x:v>unchanged</x:v>
      </x:c>
      <x:c r="K498" t="n">
        <x:v>1</x:v>
      </x:c>
      <x:c r="L498" t="n">
        <x:v>1</x:v>
      </x:c>
      <x:c r="M498" t="n">
        <x:v>1</x:v>
      </x:c>
      <x:c r="N498" t="n">
        <x:v>1</x:v>
      </x:c>
    </x:row>
    <x:row r="499">
      <x:c r="A499" t="str">
        <x:v>a2_new_minus_old_on_new_a1</x:v>
      </x:c>
      <x:c r="B499" t="str">
        <x:v>span_aligned</x:v>
      </x:c>
      <x:c r="C499" t="str">
        <x:f>"qid:6257465985316109835"</x:f>
        <x:v>qid:6257465985316109835</x:v>
      </x:c>
      <x:c r="D499" s="14" t="str">
        <x:v>Who is the main character in liv and maddie?</x:v>
      </x:c>
      <x:c r="E499" t="str">
        <x:v>new_old</x:v>
      </x:c>
      <x:c r="F499" t="str">
        <x:v>new_new</x:v>
      </x:c>
      <x:c r="G499" s="34" t="n">
        <x:v>0</x:v>
      </x:c>
      <x:c r="H499" s="34" t="n">
        <x:v>0</x:v>
      </x:c>
      <x:c r="I499" s="34" t="n">
        <x:v>0</x:v>
      </x:c>
      <x:c r="J499" t="str">
        <x:v>unchanged</x:v>
      </x:c>
      <x:c r="K499" t="n">
        <x:v>0</x:v>
      </x:c>
      <x:c r="L499" t="n">
        <x:v>1</x:v>
      </x:c>
      <x:c r="M499" t="n">
        <x:v>0</x:v>
      </x:c>
      <x:c r="N499" t="n">
        <x:v>1</x:v>
      </x:c>
    </x:row>
    <x:row r="500">
      <x:c r="A500" t="str">
        <x:v>a2_new_minus_old_on_new_a1</x:v>
      </x:c>
      <x:c r="B500" t="str">
        <x:v>span_aligned</x:v>
      </x:c>
      <x:c r="C500" t="str">
        <x:f>"qid:6514531923811923780"</x:f>
        <x:v>qid:6514531923811923780</x:v>
      </x:c>
      <x:c r="D500" s="14" t="str">
        <x:v>When does disney's food and wine festival end?</x:v>
      </x:c>
      <x:c r="E500" t="str">
        <x:v>new_old</x:v>
      </x:c>
      <x:c r="F500" t="str">
        <x:v>new_new</x:v>
      </x:c>
      <x:c r="G500" s="34" t="n">
        <x:v>1</x:v>
      </x:c>
      <x:c r="H500" s="34" t="n">
        <x:v>1</x:v>
      </x:c>
      <x:c r="I500" s="34" t="n">
        <x:v>0</x:v>
      </x:c>
      <x:c r="J500" t="str">
        <x:v>unchanged</x:v>
      </x:c>
      <x:c r="K500" t="n">
        <x:v>1</x:v>
      </x:c>
      <x:c r="L500" t="n">
        <x:v>1</x:v>
      </x:c>
      <x:c r="M500" t="n">
        <x:v>1</x:v>
      </x:c>
      <x:c r="N500" t="n">
        <x:v>1</x:v>
      </x:c>
    </x:row>
    <x:row r="501">
      <x:c r="A501" t="str">
        <x:v>a2_new_minus_old_on_new_a1</x:v>
      </x:c>
      <x:c r="B501" t="str">
        <x:v>span_aligned</x:v>
      </x:c>
      <x:c r="C501" t="str">
        <x:f>"qid:6776234528515962047"</x:f>
        <x:v>qid:6776234528515962047</x:v>
      </x:c>
      <x:c r="D501" s="14" t="str">
        <x:v>Who is the most run in cricket history?</x:v>
      </x:c>
      <x:c r="E501" t="str">
        <x:v>new_old</x:v>
      </x:c>
      <x:c r="F501" t="str">
        <x:v>new_new</x:v>
      </x:c>
      <x:c r="G501" s="34" t="n">
        <x:v>1</x:v>
      </x:c>
      <x:c r="H501" s="34" t="n">
        <x:v>1</x:v>
      </x:c>
      <x:c r="I501" s="34" t="n">
        <x:v>0</x:v>
      </x:c>
      <x:c r="J501" t="str">
        <x:v>unchanged</x:v>
      </x:c>
      <x:c r="K501" t="n">
        <x:v>1</x:v>
      </x:c>
      <x:c r="L501" t="n">
        <x:v>1</x:v>
      </x:c>
      <x:c r="M501" t="n">
        <x:v>1</x:v>
      </x:c>
      <x:c r="N501" t="n">
        <x:v>1</x:v>
      </x:c>
    </x:row>
    <x:row r="502">
      <x:c r="A502" t="str">
        <x:v>a2_new_minus_old_on_new_a1</x:v>
      </x:c>
      <x:c r="B502" t="str">
        <x:v>span_aligned</x:v>
      </x:c>
      <x:c r="C502" t="str">
        <x:f>"qid:6962706727076805207"</x:f>
        <x:v>qid:6962706727076805207</x:v>
      </x:c>
      <x:c r="D502" s="14" t="str">
        <x:v>What kind of car in to catch a thief?</x:v>
      </x:c>
      <x:c r="E502" t="str">
        <x:v>new_old</x:v>
      </x:c>
      <x:c r="F502" t="str">
        <x:v>new_new</x:v>
      </x:c>
      <x:c r="G502" s="34" t="n">
        <x:v>1</x:v>
      </x:c>
      <x:c r="H502" s="34" t="n">
        <x:v>1</x:v>
      </x:c>
      <x:c r="I502" s="34" t="n">
        <x:v>0</x:v>
      </x:c>
      <x:c r="J502" t="str">
        <x:v>unchanged</x:v>
      </x:c>
      <x:c r="K502" t="n">
        <x:v>1</x:v>
      </x:c>
      <x:c r="L502" t="n">
        <x:v>1</x:v>
      </x:c>
      <x:c r="M502" t="n">
        <x:v>1</x:v>
      </x:c>
      <x:c r="N502" t="n">
        <x:v>1</x:v>
      </x:c>
    </x:row>
    <x:row r="503">
      <x:c r="A503" t="str">
        <x:v>a2_new_minus_old_on_new_a1</x:v>
      </x:c>
      <x:c r="B503" t="str">
        <x:v>span_aligned</x:v>
      </x:c>
      <x:c r="C503" t="str">
        <x:f>"qid:7150599999316106461"</x:f>
        <x:v>qid:7150599999316106461</x:v>
      </x:c>
      <x:c r="D503" s="14" t="str">
        <x:v>Who was the first singing brothers in the hall of fame?</x:v>
      </x:c>
      <x:c r="E503" t="str">
        <x:v>new_old</x:v>
      </x:c>
      <x:c r="F503" t="str">
        <x:v>new_new</x:v>
      </x:c>
      <x:c r="G503" s="34" t="n">
        <x:v>1</x:v>
      </x:c>
      <x:c r="H503" s="34" t="n">
        <x:v>1</x:v>
      </x:c>
      <x:c r="I503" s="34" t="n">
        <x:v>0</x:v>
      </x:c>
      <x:c r="J503" t="str">
        <x:v>unchanged</x:v>
      </x:c>
      <x:c r="K503" t="n">
        <x:v>1</x:v>
      </x:c>
      <x:c r="L503" t="n">
        <x:v>1</x:v>
      </x:c>
      <x:c r="M503" t="n">
        <x:v>1</x:v>
      </x:c>
      <x:c r="N503" t="n">
        <x:v>1</x:v>
      </x:c>
    </x:row>
    <x:row r="504">
      <x:c r="A504" t="str">
        <x:v>a2_new_minus_old_on_new_a1</x:v>
      </x:c>
      <x:c r="B504" t="str">
        <x:v>span_aligned</x:v>
      </x:c>
      <x:c r="C504" t="str">
        <x:f>"qid:732619765350082410"</x:f>
        <x:v>qid:732619765350082410</x:v>
      </x:c>
      <x:c r="D504" s="14" t="str">
        <x:v>When did toronto host the mlb all-star game?</x:v>
      </x:c>
      <x:c r="E504" t="str">
        <x:v>new_old</x:v>
      </x:c>
      <x:c r="F504" t="str">
        <x:v>new_new</x:v>
      </x:c>
      <x:c r="G504" s="34" t="n">
        <x:v>1</x:v>
      </x:c>
      <x:c r="H504" s="34" t="n">
        <x:v>1</x:v>
      </x:c>
      <x:c r="I504" s="34" t="n">
        <x:v>0</x:v>
      </x:c>
      <x:c r="J504" t="str">
        <x:v>unchanged</x:v>
      </x:c>
      <x:c r="K504" t="n">
        <x:v>1</x:v>
      </x:c>
      <x:c r="L504" t="n">
        <x:v>1</x:v>
      </x:c>
      <x:c r="M504" t="n">
        <x:v>1</x:v>
      </x:c>
      <x:c r="N504" t="n">
        <x:v>1</x:v>
      </x:c>
    </x:row>
    <x:row r="505">
      <x:c r="A505" t="str">
        <x:v>a2_new_minus_old_on_new_a1</x:v>
      </x:c>
      <x:c r="B505" t="str">
        <x:v>span_aligned</x:v>
      </x:c>
      <x:c r="C505" t="str">
        <x:f>"qid:743600309736467122"</x:f>
        <x:v>qid:743600309736467122</x:v>
      </x:c>
      <x:c r="D505" s="14" t="str">
        <x:v>When was on the revolutions of the heavenly spheres published?</x:v>
      </x:c>
      <x:c r="E505" t="str">
        <x:v>new_old</x:v>
      </x:c>
      <x:c r="F505" t="str">
        <x:v>new_new</x:v>
      </x:c>
      <x:c r="G505" s="34" t="n">
        <x:v>0</x:v>
      </x:c>
      <x:c r="H505" s="34" t="n">
        <x:v>0</x:v>
      </x:c>
      <x:c r="I505" s="34" t="n">
        <x:v>0</x:v>
      </x:c>
      <x:c r="J505" t="str">
        <x:v>unchanged</x:v>
      </x:c>
      <x:c r="K505" t="n">
        <x:v>0</x:v>
      </x:c>
      <x:c r="L505" t="n">
        <x:v>2</x:v>
      </x:c>
      <x:c r="M505" t="n">
        <x:v>0</x:v>
      </x:c>
      <x:c r="N505" t="n">
        <x:v>2</x:v>
      </x:c>
    </x:row>
    <x:row r="506">
      <x:c r="A506" t="str">
        <x:v>a2_new_minus_old_on_new_a1</x:v>
      </x:c>
      <x:c r="B506" t="str">
        <x:v>span_aligned</x:v>
      </x:c>
      <x:c r="C506" t="str">
        <x:f>"qid:7494804303418493420"</x:f>
        <x:v>qid:7494804303418493420</x:v>
      </x:c>
      <x:c r="D506" s="14" t="str">
        <x:v>Movie with the song sunshine on my shoulders?</x:v>
      </x:c>
      <x:c r="E506" t="str">
        <x:v>new_old</x:v>
      </x:c>
      <x:c r="F506" t="str">
        <x:v>new_new</x:v>
      </x:c>
      <x:c r="G506" s="34" t="n">
        <x:v>1</x:v>
      </x:c>
      <x:c r="H506" s="34" t="n">
        <x:v>1</x:v>
      </x:c>
      <x:c r="I506" s="34" t="n">
        <x:v>0</x:v>
      </x:c>
      <x:c r="J506" t="str">
        <x:v>unchanged</x:v>
      </x:c>
      <x:c r="K506" t="n">
        <x:v>2</x:v>
      </x:c>
      <x:c r="L506" t="n">
        <x:v>2</x:v>
      </x:c>
      <x:c r="M506" t="n">
        <x:v>2</x:v>
      </x:c>
      <x:c r="N506" t="n">
        <x:v>2</x:v>
      </x:c>
    </x:row>
    <x:row r="507">
      <x:c r="A507" t="str">
        <x:v>a2_new_minus_old_on_new_a1</x:v>
      </x:c>
      <x:c r="B507" t="str">
        <x:v>span_aligned</x:v>
      </x:c>
      <x:c r="C507" t="str">
        <x:f>"qid:7797208395147217894"</x:f>
        <x:v>qid:7797208395147217894</x:v>
      </x:c>
      <x:c r="D507" s="14" t="str">
        <x:v>When did west germany win the world cup?</x:v>
      </x:c>
      <x:c r="E507" t="str">
        <x:v>new_old</x:v>
      </x:c>
      <x:c r="F507" t="str">
        <x:v>new_new</x:v>
      </x:c>
      <x:c r="G507" s="34" t="n">
        <x:v>1</x:v>
      </x:c>
      <x:c r="H507" s="34" t="n">
        <x:v>1</x:v>
      </x:c>
      <x:c r="I507" s="34" t="n">
        <x:v>0</x:v>
      </x:c>
      <x:c r="J507" t="str">
        <x:v>unchanged</x:v>
      </x:c>
      <x:c r="K507" t="n">
        <x:v>2</x:v>
      </x:c>
      <x:c r="L507" t="n">
        <x:v>2</x:v>
      </x:c>
      <x:c r="M507" t="n">
        <x:v>2</x:v>
      </x:c>
      <x:c r="N507" t="n">
        <x:v>2</x:v>
      </x:c>
    </x:row>
    <x:row r="508">
      <x:c r="A508" t="str">
        <x:v>a2_new_minus_old_on_new_a1</x:v>
      </x:c>
      <x:c r="B508" t="str">
        <x:v>span_aligned</x:v>
      </x:c>
      <x:c r="C508" t="str">
        <x:f>"qid:8433533625736230886"</x:f>
        <x:v>qid:8433533625736230886</x:v>
      </x:c>
      <x:c r="D508" s="14" t="str">
        <x:v>Who has won the most trophies man utd or liverpool?</x:v>
      </x:c>
      <x:c r="E508" t="str">
        <x:v>new_old</x:v>
      </x:c>
      <x:c r="F508" t="str">
        <x:v>new_new</x:v>
      </x:c>
      <x:c r="G508" s="34" t="n">
        <x:v>1</x:v>
      </x:c>
      <x:c r="H508" s="34" t="n">
        <x:v>1</x:v>
      </x:c>
      <x:c r="I508" s="34" t="n">
        <x:v>0</x:v>
      </x:c>
      <x:c r="J508" t="str">
        <x:v>unchanged</x:v>
      </x:c>
      <x:c r="K508" t="n">
        <x:v>1</x:v>
      </x:c>
      <x:c r="L508" t="n">
        <x:v>1</x:v>
      </x:c>
      <x:c r="M508" t="n">
        <x:v>1</x:v>
      </x:c>
      <x:c r="N508" t="n">
        <x:v>1</x:v>
      </x:c>
    </x:row>
    <x:row r="509">
      <x:c r="A509" t="str">
        <x:v>a2_new_minus_old_on_new_a1</x:v>
      </x:c>
      <x:c r="B509" t="str">
        <x:v>span_aligned</x:v>
      </x:c>
      <x:c r="C509" t="str">
        <x:f>"qid:8686216144939155905"</x:f>
        <x:v>qid:8686216144939155905</x:v>
      </x:c>
      <x:c r="D509" s="14" t="str">
        <x:v>What is the name of the time zone for london?</x:v>
      </x:c>
      <x:c r="E509" t="str">
        <x:v>new_old</x:v>
      </x:c>
      <x:c r="F509" t="str">
        <x:v>new_new</x:v>
      </x:c>
      <x:c r="G509" s="34" t="n">
        <x:v>1</x:v>
      </x:c>
      <x:c r="H509" s="34" t="n">
        <x:v>1</x:v>
      </x:c>
      <x:c r="I509" s="34" t="n">
        <x:v>0</x:v>
      </x:c>
      <x:c r="J509" t="str">
        <x:v>unchanged</x:v>
      </x:c>
      <x:c r="K509" t="n">
        <x:v>1</x:v>
      </x:c>
      <x:c r="L509" t="n">
        <x:v>1</x:v>
      </x:c>
      <x:c r="M509" t="n">
        <x:v>1</x:v>
      </x:c>
      <x:c r="N509" t="n">
        <x:v>1</x:v>
      </x:c>
    </x:row>
    <x:row r="510">
      <x:c r="A510" t="str">
        <x:v>a2_new_minus_old_on_new_a1</x:v>
      </x:c>
      <x:c r="B510" t="str">
        <x:v>span_aligned</x:v>
      </x:c>
      <x:c r="C510" t="str">
        <x:f>"qid:87005427005915954"</x:f>
        <x:v>qid:87005427005915954</x:v>
      </x:c>
      <x:c r="D510" s="14" t="str">
        <x:v>When was the last time galway won the hurling all ireland?</x:v>
      </x:c>
      <x:c r="E510" t="str">
        <x:v>new_old</x:v>
      </x:c>
      <x:c r="F510" t="str">
        <x:v>new_new</x:v>
      </x:c>
      <x:c r="G510" s="34" t="n">
        <x:v>1</x:v>
      </x:c>
      <x:c r="H510" s="34" t="n">
        <x:v>1</x:v>
      </x:c>
      <x:c r="I510" s="34" t="n">
        <x:v>0</x:v>
      </x:c>
      <x:c r="J510" t="str">
        <x:v>unchanged</x:v>
      </x:c>
      <x:c r="K510" t="n">
        <x:v>1</x:v>
      </x:c>
      <x:c r="L510" t="n">
        <x:v>1</x:v>
      </x:c>
      <x:c r="M510" t="n">
        <x:v>1</x:v>
      </x:c>
      <x:c r="N510" t="n">
        <x:v>1</x:v>
      </x:c>
    </x:row>
    <x:row r="511">
      <x:c r="A511" t="str">
        <x:v>a2_new_minus_old_on_new_a1</x:v>
      </x:c>
      <x:c r="B511" t="str">
        <x:v>rewrite_faithful</x:v>
      </x:c>
      <x:c r="C511" t="str">
        <x:f>"qid:-1062522255440685408"</x:f>
        <x:v>qid:-1062522255440685408</x:v>
      </x:c>
      <x:c r="D511" s="14" t="str">
        <x:v>When did the first generation kindle fire come out?</x:v>
      </x:c>
      <x:c r="E511" t="str">
        <x:v>new_old</x:v>
      </x:c>
      <x:c r="F511" t="str">
        <x:v>new_new</x:v>
      </x:c>
      <x:c r="G511" s="34" t="n">
        <x:v>1</x:v>
      </x:c>
      <x:c r="H511" s="34" t="n">
        <x:v>1</x:v>
      </x:c>
      <x:c r="I511" s="34" t="n">
        <x:v>0</x:v>
      </x:c>
      <x:c r="J511" t="str">
        <x:v>unchanged</x:v>
      </x:c>
      <x:c r="K511" t="n">
        <x:v>1</x:v>
      </x:c>
      <x:c r="L511" t="n">
        <x:v>1</x:v>
      </x:c>
      <x:c r="M511" t="n">
        <x:v>1</x:v>
      </x:c>
      <x:c r="N511" t="n">
        <x:v>1</x:v>
      </x:c>
    </x:row>
    <x:row r="512">
      <x:c r="A512" t="str">
        <x:v>a2_new_minus_old_on_new_a1</x:v>
      </x:c>
      <x:c r="B512" t="str">
        <x:v>rewrite_faithful</x:v>
      </x:c>
      <x:c r="C512" t="str">
        <x:f>"qid:-1859261645300630518"</x:f>
        <x:v>qid:-1859261645300630518</x:v>
      </x:c>
      <x:c r="D512" s="14" t="str">
        <x:v>When does steve come back in shameless season 5?</x:v>
      </x:c>
      <x:c r="E512" t="str">
        <x:v>new_old</x:v>
      </x:c>
      <x:c r="F512" t="str">
        <x:v>new_new</x:v>
      </x:c>
      <x:c r="G512" s="34" t="n">
        <x:v>1</x:v>
      </x:c>
      <x:c r="H512" s="34" t="n">
        <x:v>1</x:v>
      </x:c>
      <x:c r="I512" s="34" t="n">
        <x:v>0</x:v>
      </x:c>
      <x:c r="J512" t="str">
        <x:v>unchanged</x:v>
      </x:c>
      <x:c r="K512" t="n">
        <x:v>2</x:v>
      </x:c>
      <x:c r="L512" t="n">
        <x:v>2</x:v>
      </x:c>
      <x:c r="M512" t="n">
        <x:v>2</x:v>
      </x:c>
      <x:c r="N512" t="n">
        <x:v>2</x:v>
      </x:c>
    </x:row>
    <x:row r="513">
      <x:c r="A513" t="str">
        <x:v>a2_new_minus_old_on_new_a1</x:v>
      </x:c>
      <x:c r="B513" t="str">
        <x:v>rewrite_faithful</x:v>
      </x:c>
      <x:c r="C513" t="str">
        <x:f>"qid:-2585133819352441604"</x:f>
        <x:v>qid:-2585133819352441604</x:v>
      </x:c>
      <x:c r="D513" s="14" t="str">
        <x:v>Name of first episode of this is us?</x:v>
      </x:c>
      <x:c r="E513" t="str">
        <x:v>new_old</x:v>
      </x:c>
      <x:c r="F513" t="str">
        <x:v>new_new</x:v>
      </x:c>
      <x:c r="G513" s="34" t="n">
        <x:v>1</x:v>
      </x:c>
      <x:c r="H513" s="34" t="n">
        <x:v>1</x:v>
      </x:c>
      <x:c r="I513" s="34" t="n">
        <x:v>0</x:v>
      </x:c>
      <x:c r="J513" t="str">
        <x:v>unchanged</x:v>
      </x:c>
      <x:c r="K513" t="n">
        <x:v>1</x:v>
      </x:c>
      <x:c r="L513" t="n">
        <x:v>1</x:v>
      </x:c>
      <x:c r="M513" t="n">
        <x:v>1</x:v>
      </x:c>
      <x:c r="N513" t="n">
        <x:v>1</x:v>
      </x:c>
    </x:row>
    <x:row r="514">
      <x:c r="A514" t="str">
        <x:v>a2_new_minus_old_on_new_a1</x:v>
      </x:c>
      <x:c r="B514" t="str">
        <x:v>rewrite_faithful</x:v>
      </x:c>
      <x:c r="C514" t="str">
        <x:f>"qid:-3228483207040151533"</x:f>
        <x:v>qid:-3228483207040151533</x:v>
      </x:c>
      <x:c r="D514" s="14" t="str">
        <x:v>What bodies of water surround cabo san lucas?</x:v>
      </x:c>
      <x:c r="E514" t="str">
        <x:v>new_old</x:v>
      </x:c>
      <x:c r="F514" t="str">
        <x:v>new_new</x:v>
      </x:c>
      <x:c r="G514" s="34" t="n">
        <x:v>1</x:v>
      </x:c>
      <x:c r="H514" s="34" t="n">
        <x:v>1</x:v>
      </x:c>
      <x:c r="I514" s="34" t="n">
        <x:v>0</x:v>
      </x:c>
      <x:c r="J514" t="str">
        <x:v>unchanged</x:v>
      </x:c>
      <x:c r="K514" t="n">
        <x:v>1</x:v>
      </x:c>
      <x:c r="L514" t="n">
        <x:v>1</x:v>
      </x:c>
      <x:c r="M514" t="n">
        <x:v>1</x:v>
      </x:c>
      <x:c r="N514" t="n">
        <x:v>1</x:v>
      </x:c>
    </x:row>
    <x:row r="515">
      <x:c r="A515" t="str">
        <x:v>a2_new_minus_old_on_new_a1</x:v>
      </x:c>
      <x:c r="B515" t="str">
        <x:v>rewrite_faithful</x:v>
      </x:c>
      <x:c r="C515" t="str">
        <x:f>"qid:-3279585462082900736"</x:f>
        <x:v>qid:-3279585462082900736</x:v>
      </x:c>
      <x:c r="D515" s="14" t="str">
        <x:v>Who gets fired on grey's anatomy season 6?</x:v>
      </x:c>
      <x:c r="E515" t="str">
        <x:v>new_old</x:v>
      </x:c>
      <x:c r="F515" t="str">
        <x:v>new_new</x:v>
      </x:c>
      <x:c r="G515" s="34" t="n">
        <x:v>0</x:v>
      </x:c>
      <x:c r="H515" s="34" t="n">
        <x:v>0</x:v>
      </x:c>
      <x:c r="I515" s="34" t="n">
        <x:v>0</x:v>
      </x:c>
      <x:c r="J515" t="str">
        <x:v>unchanged</x:v>
      </x:c>
      <x:c r="K515" t="n">
        <x:v>0</x:v>
      </x:c>
      <x:c r="L515" t="n">
        <x:v>1</x:v>
      </x:c>
      <x:c r="M515" t="n">
        <x:v>0</x:v>
      </x:c>
      <x:c r="N515" t="n">
        <x:v>1</x:v>
      </x:c>
    </x:row>
    <x:row r="516">
      <x:c r="A516" t="str">
        <x:v>a2_new_minus_old_on_new_a1</x:v>
      </x:c>
      <x:c r="B516" t="str">
        <x:v>rewrite_faithful</x:v>
      </x:c>
      <x:c r="C516" t="str">
        <x:f>"qid:-3344541168958463110"</x:f>
        <x:v>qid:-3344541168958463110</x:v>
      </x:c>
      <x:c r="D516" s="14" t="str">
        <x:v>Who fought with an angel in the bible?</x:v>
      </x:c>
      <x:c r="E516" t="str">
        <x:v>new_old</x:v>
      </x:c>
      <x:c r="F516" t="str">
        <x:v>new_new</x:v>
      </x:c>
      <x:c r="G516" s="34" t="n">
        <x:v>1</x:v>
      </x:c>
      <x:c r="H516" s="34" t="n">
        <x:v>0</x:v>
      </x:c>
      <x:c r="I516" s="34" t="n">
        <x:v>-1</x:v>
      </x:c>
      <x:c r="J516" t="str">
        <x:v>regressed</x:v>
      </x:c>
      <x:c r="K516" t="n">
        <x:v>1</x:v>
      </x:c>
      <x:c r="L516" t="n">
        <x:v>1</x:v>
      </x:c>
      <x:c r="M516" t="n">
        <x:v>0</x:v>
      </x:c>
      <x:c r="N516" t="n">
        <x:v>1</x:v>
      </x:c>
    </x:row>
    <x:row r="517">
      <x:c r="A517" t="str">
        <x:v>a2_new_minus_old_on_new_a1</x:v>
      </x:c>
      <x:c r="B517" t="str">
        <x:v>rewrite_faithful</x:v>
      </x:c>
      <x:c r="C517" t="str">
        <x:f>"qid:-3904805932335139116"</x:f>
        <x:v>qid:-3904805932335139116</x:v>
      </x:c>
      <x:c r="D517" s="14" t="str">
        <x:v>What was the daughter's name on the jetsons?</x:v>
      </x:c>
      <x:c r="E517" t="str">
        <x:v>new_old</x:v>
      </x:c>
      <x:c r="F517" t="str">
        <x:v>new_new</x:v>
      </x:c>
      <x:c r="G517" s="34" t="n">
        <x:v>0</x:v>
      </x:c>
      <x:c r="H517" s="34" t="n">
        <x:v>0</x:v>
      </x:c>
      <x:c r="I517" s="34" t="n">
        <x:v>0</x:v>
      </x:c>
      <x:c r="J517" t="str">
        <x:v>unchanged</x:v>
      </x:c>
      <x:c r="K517" t="n">
        <x:v>0</x:v>
      </x:c>
      <x:c r="L517" t="n">
        <x:v>1</x:v>
      </x:c>
      <x:c r="M517" t="n">
        <x:v>0</x:v>
      </x:c>
      <x:c r="N517" t="n">
        <x:v>1</x:v>
      </x:c>
    </x:row>
    <x:row r="518">
      <x:c r="A518" t="str">
        <x:v>a2_new_minus_old_on_new_a1</x:v>
      </x:c>
      <x:c r="B518" t="str">
        <x:v>rewrite_faithful</x:v>
      </x:c>
      <x:c r="C518" t="str">
        <x:f>"qid:-4286108617234818000"</x:f>
        <x:v>qid:-4286108617234818000</x:v>
      </x:c>
      <x:c r="D518" s="14" t="str">
        <x:v>When does the new super troopers movie come out?</x:v>
      </x:c>
      <x:c r="E518" t="str">
        <x:v>new_old</x:v>
      </x:c>
      <x:c r="F518" t="str">
        <x:v>new_new</x:v>
      </x:c>
      <x:c r="G518" s="34" t="n">
        <x:v>0</x:v>
      </x:c>
      <x:c r="H518" s="34" t="n">
        <x:v>0</x:v>
      </x:c>
      <x:c r="I518" s="34" t="n">
        <x:v>0</x:v>
      </x:c>
      <x:c r="J518" t="str">
        <x:v>unchanged</x:v>
      </x:c>
      <x:c r="K518" t="n">
        <x:v>0</x:v>
      </x:c>
      <x:c r="L518" t="n">
        <x:v>3</x:v>
      </x:c>
      <x:c r="M518" t="n">
        <x:v>0</x:v>
      </x:c>
      <x:c r="N518" t="n">
        <x:v>3</x:v>
      </x:c>
    </x:row>
    <x:row r="519">
      <x:c r="A519" t="str">
        <x:v>a2_new_minus_old_on_new_a1</x:v>
      </x:c>
      <x:c r="B519" t="str">
        <x:v>rewrite_faithful</x:v>
      </x:c>
      <x:c r="C519" t="str">
        <x:f>"qid:-4456614433280196572"</x:f>
        <x:v>qid:-4456614433280196572</x:v>
      </x:c>
      <x:c r="D519" s="14" t="str">
        <x:v>What season does meredith and derek get married in grey's anatomy?</x:v>
      </x:c>
      <x:c r="E519" t="str">
        <x:v>new_old</x:v>
      </x:c>
      <x:c r="F519" t="str">
        <x:v>new_new</x:v>
      </x:c>
      <x:c r="G519" s="34" t="n">
        <x:v>1</x:v>
      </x:c>
      <x:c r="H519" s="34" t="n">
        <x:v>1</x:v>
      </x:c>
      <x:c r="I519" s="34" t="n">
        <x:v>0</x:v>
      </x:c>
      <x:c r="J519" t="str">
        <x:v>unchanged</x:v>
      </x:c>
      <x:c r="K519" t="n">
        <x:v>1</x:v>
      </x:c>
      <x:c r="L519" t="n">
        <x:v>1</x:v>
      </x:c>
      <x:c r="M519" t="n">
        <x:v>1</x:v>
      </x:c>
      <x:c r="N519" t="n">
        <x:v>1</x:v>
      </x:c>
    </x:row>
    <x:row r="520">
      <x:c r="A520" t="str">
        <x:v>a2_new_minus_old_on_new_a1</x:v>
      </x:c>
      <x:c r="B520" t="str">
        <x:v>rewrite_faithful</x:v>
      </x:c>
      <x:c r="C520" t="str">
        <x:f>"qid:-447198893588059167"</x:f>
        <x:v>qid:-447198893588059167</x:v>
      </x:c>
      <x:c r="D520" s="14" t="str">
        <x:v>Who played the father in leave it to beaver?</x:v>
      </x:c>
      <x:c r="E520" t="str">
        <x:v>new_old</x:v>
      </x:c>
      <x:c r="F520" t="str">
        <x:v>new_new</x:v>
      </x:c>
      <x:c r="G520" s="34" t="n">
        <x:v>1</x:v>
      </x:c>
      <x:c r="H520" s="34" t="n">
        <x:v>1</x:v>
      </x:c>
      <x:c r="I520" s="34" t="n">
        <x:v>0</x:v>
      </x:c>
      <x:c r="J520" t="str">
        <x:v>unchanged</x:v>
      </x:c>
      <x:c r="K520" t="n">
        <x:v>1</x:v>
      </x:c>
      <x:c r="L520" t="n">
        <x:v>1</x:v>
      </x:c>
      <x:c r="M520" t="n">
        <x:v>1</x:v>
      </x:c>
      <x:c r="N520" t="n">
        <x:v>1</x:v>
      </x:c>
    </x:row>
    <x:row r="521">
      <x:c r="A521" t="str">
        <x:v>a2_new_minus_old_on_new_a1</x:v>
      </x:c>
      <x:c r="B521" t="str">
        <x:v>rewrite_faithful</x:v>
      </x:c>
      <x:c r="C521" t="str">
        <x:f>"qid:-4649654703638364295"</x:f>
        <x:v>qid:-4649654703638364295</x:v>
      </x:c>
      <x:c r="D521" s="14" t="str">
        <x:v>Who made it through the divisional finals world of dance?</x:v>
      </x:c>
      <x:c r="E521" t="str">
        <x:v>new_old</x:v>
      </x:c>
      <x:c r="F521" t="str">
        <x:v>new_new</x:v>
      </x:c>
      <x:c r="G521" s="34" t="n">
        <x:v>1</x:v>
      </x:c>
      <x:c r="H521" s="34" t="n">
        <x:v>1</x:v>
      </x:c>
      <x:c r="I521" s="34" t="n">
        <x:v>0</x:v>
      </x:c>
      <x:c r="J521" t="str">
        <x:v>unchanged</x:v>
      </x:c>
      <x:c r="K521" t="n">
        <x:v>1</x:v>
      </x:c>
      <x:c r="L521" t="n">
        <x:v>1</x:v>
      </x:c>
      <x:c r="M521" t="n">
        <x:v>1</x:v>
      </x:c>
      <x:c r="N521" t="n">
        <x:v>1</x:v>
      </x:c>
    </x:row>
    <x:row r="522">
      <x:c r="A522" t="str">
        <x:v>a2_new_minus_old_on_new_a1</x:v>
      </x:c>
      <x:c r="B522" t="str">
        <x:v>rewrite_faithful</x:v>
      </x:c>
      <x:c r="C522" t="str">
        <x:f>"qid:-4873786835306543030"</x:f>
        <x:v>qid:-4873786835306543030</x:v>
      </x:c>
      <x:c r="D522" s="14" t="str">
        <x:v>Who is the chief minister of m. p?</x:v>
      </x:c>
      <x:c r="E522" t="str">
        <x:v>new_old</x:v>
      </x:c>
      <x:c r="F522" t="str">
        <x:v>new_new</x:v>
      </x:c>
      <x:c r="G522" s="34" t="n">
        <x:v>1</x:v>
      </x:c>
      <x:c r="H522" s="34" t="n">
        <x:v>1</x:v>
      </x:c>
      <x:c r="I522" s="34" t="n">
        <x:v>0</x:v>
      </x:c>
      <x:c r="J522" t="str">
        <x:v>unchanged</x:v>
      </x:c>
      <x:c r="K522" t="n">
        <x:v>1</x:v>
      </x:c>
      <x:c r="L522" t="n">
        <x:v>1</x:v>
      </x:c>
      <x:c r="M522" t="n">
        <x:v>1</x:v>
      </x:c>
      <x:c r="N522" t="n">
        <x:v>1</x:v>
      </x:c>
    </x:row>
    <x:row r="523">
      <x:c r="A523" t="str">
        <x:v>a2_new_minus_old_on_new_a1</x:v>
      </x:c>
      <x:c r="B523" t="str">
        <x:v>rewrite_faithful</x:v>
      </x:c>
      <x:c r="C523" t="str">
        <x:f>"qid:-4995398567532229571"</x:f>
        <x:v>qid:-4995398567532229571</x:v>
      </x:c>
      <x:c r="D523" s="14" t="str">
        <x:v>When did ragtime flourished in the united states?</x:v>
      </x:c>
      <x:c r="E523" t="str">
        <x:v>new_old</x:v>
      </x:c>
      <x:c r="F523" t="str">
        <x:v>new_new</x:v>
      </x:c>
      <x:c r="G523" s="34" t="n">
        <x:v>1</x:v>
      </x:c>
      <x:c r="H523" s="34" t="n">
        <x:v>1</x:v>
      </x:c>
      <x:c r="I523" s="34" t="n">
        <x:v>0</x:v>
      </x:c>
      <x:c r="J523" t="str">
        <x:v>unchanged</x:v>
      </x:c>
      <x:c r="K523" t="n">
        <x:v>1</x:v>
      </x:c>
      <x:c r="L523" t="n">
        <x:v>1</x:v>
      </x:c>
      <x:c r="M523" t="n">
        <x:v>1</x:v>
      </x:c>
      <x:c r="N523" t="n">
        <x:v>1</x:v>
      </x:c>
    </x:row>
    <x:row r="524">
      <x:c r="A524" t="str">
        <x:v>a2_new_minus_old_on_new_a1</x:v>
      </x:c>
      <x:c r="B524" t="str">
        <x:v>rewrite_faithful</x:v>
      </x:c>
      <x:c r="C524" t="str">
        <x:f>"qid:-5036947181661390825"</x:f>
        <x:v>qid:-5036947181661390825</x:v>
      </x:c>
      <x:c r="D524" s="14" t="str">
        <x:v>When was the vietnam veterans war memorial built?</x:v>
      </x:c>
      <x:c r="E524" t="str">
        <x:v>new_old</x:v>
      </x:c>
      <x:c r="F524" t="str">
        <x:v>new_new</x:v>
      </x:c>
      <x:c r="G524" s="34" t="n">
        <x:v>1</x:v>
      </x:c>
      <x:c r="H524" s="34" t="n">
        <x:v>1</x:v>
      </x:c>
      <x:c r="I524" s="34" t="n">
        <x:v>0</x:v>
      </x:c>
      <x:c r="J524" t="str">
        <x:v>unchanged</x:v>
      </x:c>
      <x:c r="K524" t="n">
        <x:v>1</x:v>
      </x:c>
      <x:c r="L524" t="n">
        <x:v>1</x:v>
      </x:c>
      <x:c r="M524" t="n">
        <x:v>1</x:v>
      </x:c>
      <x:c r="N524" t="n">
        <x:v>1</x:v>
      </x:c>
    </x:row>
    <x:row r="525">
      <x:c r="A525" t="str">
        <x:v>a2_new_minus_old_on_new_a1</x:v>
      </x:c>
      <x:c r="B525" t="str">
        <x:v>rewrite_faithful</x:v>
      </x:c>
      <x:c r="C525" t="str">
        <x:f>"qid:-5116644172939113883"</x:f>
        <x:v>qid:-5116644172939113883</x:v>
      </x:c>
      <x:c r="D525" s="14" t="str">
        <x:v>Who raps in the gorillaz song clint eastwood?</x:v>
      </x:c>
      <x:c r="E525" t="str">
        <x:v>new_old</x:v>
      </x:c>
      <x:c r="F525" t="str">
        <x:v>new_new</x:v>
      </x:c>
      <x:c r="G525" s="34" t="n">
        <x:v>1</x:v>
      </x:c>
      <x:c r="H525" s="34" t="n">
        <x:v>1</x:v>
      </x:c>
      <x:c r="I525" s="34" t="n">
        <x:v>0</x:v>
      </x:c>
      <x:c r="J525" t="str">
        <x:v>unchanged</x:v>
      </x:c>
      <x:c r="K525" t="n">
        <x:v>1</x:v>
      </x:c>
      <x:c r="L525" t="n">
        <x:v>1</x:v>
      </x:c>
      <x:c r="M525" t="n">
        <x:v>1</x:v>
      </x:c>
      <x:c r="N525" t="n">
        <x:v>1</x:v>
      </x:c>
    </x:row>
    <x:row r="526">
      <x:c r="A526" t="str">
        <x:v>a2_new_minus_old_on_new_a1</x:v>
      </x:c>
      <x:c r="B526" t="str">
        <x:v>rewrite_faithful</x:v>
      </x:c>
      <x:c r="C526" t="str">
        <x:f>"qid:-5333049627570569397"</x:f>
        <x:v>qid:-5333049627570569397</x:v>
      </x:c>
      <x:c r="D526" s="14" t="str">
        <x:v>When did the song can't touch this come out?</x:v>
      </x:c>
      <x:c r="E526" t="str">
        <x:v>new_old</x:v>
      </x:c>
      <x:c r="F526" t="str">
        <x:v>new_new</x:v>
      </x:c>
      <x:c r="G526" s="34" t="n">
        <x:v>1</x:v>
      </x:c>
      <x:c r="H526" s="34" t="n">
        <x:v>1</x:v>
      </x:c>
      <x:c r="I526" s="34" t="n">
        <x:v>0</x:v>
      </x:c>
      <x:c r="J526" t="str">
        <x:v>unchanged</x:v>
      </x:c>
      <x:c r="K526" t="n">
        <x:v>1</x:v>
      </x:c>
      <x:c r="L526" t="n">
        <x:v>1</x:v>
      </x:c>
      <x:c r="M526" t="n">
        <x:v>1</x:v>
      </x:c>
      <x:c r="N526" t="n">
        <x:v>1</x:v>
      </x:c>
    </x:row>
    <x:row r="527">
      <x:c r="A527" t="str">
        <x:v>a2_new_minus_old_on_new_a1</x:v>
      </x:c>
      <x:c r="B527" t="str">
        <x:v>rewrite_faithful</x:v>
      </x:c>
      <x:c r="C527" t="str">
        <x:f>"qid:-5564120845047915486"</x:f>
        <x:v>qid:-5564120845047915486</x:v>
      </x:c>
      <x:c r="D527" s="14" t="str">
        <x:v>Where do you find a simple gear train?</x:v>
      </x:c>
      <x:c r="E527" t="str">
        <x:v>new_old</x:v>
      </x:c>
      <x:c r="F527" t="str">
        <x:v>new_new</x:v>
      </x:c>
      <x:c r="G527" s="34" t="n">
        <x:v>1</x:v>
      </x:c>
      <x:c r="H527" s="34" t="n">
        <x:v>1</x:v>
      </x:c>
      <x:c r="I527" s="34" t="n">
        <x:v>0</x:v>
      </x:c>
      <x:c r="J527" t="str">
        <x:v>unchanged</x:v>
      </x:c>
      <x:c r="K527" t="n">
        <x:v>1</x:v>
      </x:c>
      <x:c r="L527" t="n">
        <x:v>1</x:v>
      </x:c>
      <x:c r="M527" t="n">
        <x:v>1</x:v>
      </x:c>
      <x:c r="N527" t="n">
        <x:v>1</x:v>
      </x:c>
    </x:row>
    <x:row r="528">
      <x:c r="A528" t="str">
        <x:v>a2_new_minus_old_on_new_a1</x:v>
      </x:c>
      <x:c r="B528" t="str">
        <x:v>rewrite_faithful</x:v>
      </x:c>
      <x:c r="C528" t="str">
        <x:f>"qid:-5842265707961388968"</x:f>
        <x:v>qid:-5842265707961388968</x:v>
      </x:c>
      <x:c r="D528" s="14" t="str">
        <x:v>Who beat villanova last year in the ncaa tournament?</x:v>
      </x:c>
      <x:c r="E528" t="str">
        <x:v>new_old</x:v>
      </x:c>
      <x:c r="F528" t="str">
        <x:v>new_new</x:v>
      </x:c>
      <x:c r="G528" s="34" t="n">
        <x:v>1</x:v>
      </x:c>
      <x:c r="H528" s="34" t="n">
        <x:v>1</x:v>
      </x:c>
      <x:c r="I528" s="34" t="n">
        <x:v>0</x:v>
      </x:c>
      <x:c r="J528" t="str">
        <x:v>unchanged</x:v>
      </x:c>
      <x:c r="K528" t="n">
        <x:v>1</x:v>
      </x:c>
      <x:c r="L528" t="n">
        <x:v>1</x:v>
      </x:c>
      <x:c r="M528" t="n">
        <x:v>1</x:v>
      </x:c>
      <x:c r="N528" t="n">
        <x:v>1</x:v>
      </x:c>
    </x:row>
    <x:row r="529">
      <x:c r="A529" t="str">
        <x:v>a2_new_minus_old_on_new_a1</x:v>
      </x:c>
      <x:c r="B529" t="str">
        <x:v>rewrite_faithful</x:v>
      </x:c>
      <x:c r="C529" t="str">
        <x:f>"qid:-5942352520455511076"</x:f>
        <x:v>qid:-5942352520455511076</x:v>
      </x:c>
      <x:c r="D529" s="14" t="str">
        <x:v>Where can adipose tissue be found in the body?</x:v>
      </x:c>
      <x:c r="E529" t="str">
        <x:v>new_old</x:v>
      </x:c>
      <x:c r="F529" t="str">
        <x:v>new_new</x:v>
      </x:c>
      <x:c r="G529" s="34" t="n">
        <x:v>1</x:v>
      </x:c>
      <x:c r="H529" s="34" t="n">
        <x:v>1</x:v>
      </x:c>
      <x:c r="I529" s="34" t="n">
        <x:v>0</x:v>
      </x:c>
      <x:c r="J529" t="str">
        <x:v>unchanged</x:v>
      </x:c>
      <x:c r="K529" t="n">
        <x:v>2</x:v>
      </x:c>
      <x:c r="L529" t="n">
        <x:v>2</x:v>
      </x:c>
      <x:c r="M529" t="n">
        <x:v>5</x:v>
      </x:c>
      <x:c r="N529" t="n">
        <x:v>5</x:v>
      </x:c>
    </x:row>
    <x:row r="530">
      <x:c r="A530" t="str">
        <x:v>a2_new_minus_old_on_new_a1</x:v>
      </x:c>
      <x:c r="B530" t="str">
        <x:v>rewrite_faithful</x:v>
      </x:c>
      <x:c r="C530" t="str">
        <x:f>"qid:-62521546794442829"</x:f>
        <x:v>qid:-62521546794442829</x:v>
      </x:c>
      <x:c r="D530" s="14" t="str">
        <x:v>For whom was the battle of king's mountain a victory?</x:v>
      </x:c>
      <x:c r="E530" t="str">
        <x:v>new_old</x:v>
      </x:c>
      <x:c r="F530" t="str">
        <x:v>new_new</x:v>
      </x:c>
      <x:c r="G530" s="34" t="n">
        <x:v>1</x:v>
      </x:c>
      <x:c r="H530" s="34" t="n">
        <x:v>1</x:v>
      </x:c>
      <x:c r="I530" s="34" t="n">
        <x:v>0</x:v>
      </x:c>
      <x:c r="J530" t="str">
        <x:v>unchanged</x:v>
      </x:c>
      <x:c r="K530" t="n">
        <x:v>1</x:v>
      </x:c>
      <x:c r="L530" t="n">
        <x:v>1</x:v>
      </x:c>
      <x:c r="M530" t="n">
        <x:v>1</x:v>
      </x:c>
      <x:c r="N530" t="n">
        <x:v>1</x:v>
      </x:c>
    </x:row>
    <x:row r="531">
      <x:c r="A531" t="str">
        <x:v>a2_new_minus_old_on_new_a1</x:v>
      </x:c>
      <x:c r="B531" t="str">
        <x:v>rewrite_faithful</x:v>
      </x:c>
      <x:c r="C531" t="str">
        <x:f>"qid:-6702031255040326279"</x:f>
        <x:v>qid:-6702031255040326279</x:v>
      </x:c>
      <x:c r="D531" s="14" t="str">
        <x:v>Which of the animal is a carrier of h1n1?</x:v>
      </x:c>
      <x:c r="E531" t="str">
        <x:v>new_old</x:v>
      </x:c>
      <x:c r="F531" t="str">
        <x:v>new_new</x:v>
      </x:c>
      <x:c r="G531" s="34" t="n">
        <x:v>1</x:v>
      </x:c>
      <x:c r="H531" s="34" t="n">
        <x:v>1</x:v>
      </x:c>
      <x:c r="I531" s="34" t="n">
        <x:v>0</x:v>
      </x:c>
      <x:c r="J531" t="str">
        <x:v>unchanged</x:v>
      </x:c>
      <x:c r="K531" t="n">
        <x:v>1</x:v>
      </x:c>
      <x:c r="L531" t="n">
        <x:v>1</x:v>
      </x:c>
      <x:c r="M531" t="n">
        <x:v>1</x:v>
      </x:c>
      <x:c r="N531" t="n">
        <x:v>1</x:v>
      </x:c>
    </x:row>
    <x:row r="532">
      <x:c r="A532" t="str">
        <x:v>a2_new_minus_old_on_new_a1</x:v>
      </x:c>
      <x:c r="B532" t="str">
        <x:v>rewrite_faithful</x:v>
      </x:c>
      <x:c r="C532" t="str">
        <x:f>"qid:-728189424752983312"</x:f>
        <x:v>qid:-728189424752983312</x:v>
      </x:c>
      <x:c r="D532" s="14" t="str">
        <x:v>Where did the term bye felicia come from?</x:v>
      </x:c>
      <x:c r="E532" t="str">
        <x:v>new_old</x:v>
      </x:c>
      <x:c r="F532" t="str">
        <x:v>new_new</x:v>
      </x:c>
      <x:c r="G532" s="34" t="n">
        <x:v>1</x:v>
      </x:c>
      <x:c r="H532" s="34" t="n">
        <x:v>1</x:v>
      </x:c>
      <x:c r="I532" s="34" t="n">
        <x:v>0</x:v>
      </x:c>
      <x:c r="J532" t="str">
        <x:v>unchanged</x:v>
      </x:c>
      <x:c r="K532" t="n">
        <x:v>1</x:v>
      </x:c>
      <x:c r="L532" t="n">
        <x:v>1</x:v>
      </x:c>
      <x:c r="M532" t="n">
        <x:v>1</x:v>
      </x:c>
      <x:c r="N532" t="n">
        <x:v>1</x:v>
      </x:c>
    </x:row>
    <x:row r="533">
      <x:c r="A533" t="str">
        <x:v>a2_new_minus_old_on_new_a1</x:v>
      </x:c>
      <x:c r="B533" t="str">
        <x:v>rewrite_faithful</x:v>
      </x:c>
      <x:c r="C533" t="str">
        <x:f>"qid:-7699606393193219666"</x:f>
        <x:v>qid:-7699606393193219666</x:v>
      </x:c>
      <x:c r="D533" s="14" t="str">
        <x:v>Who played cowboy curtis on pee wee herman?</x:v>
      </x:c>
      <x:c r="E533" t="str">
        <x:v>new_old</x:v>
      </x:c>
      <x:c r="F533" t="str">
        <x:v>new_new</x:v>
      </x:c>
      <x:c r="G533" s="34" t="n">
        <x:v>1</x:v>
      </x:c>
      <x:c r="H533" s="34" t="n">
        <x:v>1</x:v>
      </x:c>
      <x:c r="I533" s="34" t="n">
        <x:v>0</x:v>
      </x:c>
      <x:c r="J533" t="str">
        <x:v>unchanged</x:v>
      </x:c>
      <x:c r="K533" t="n">
        <x:v>1</x:v>
      </x:c>
      <x:c r="L533" t="n">
        <x:v>1</x:v>
      </x:c>
      <x:c r="M533" t="n">
        <x:v>1</x:v>
      </x:c>
      <x:c r="N533" t="n">
        <x:v>1</x:v>
      </x:c>
    </x:row>
    <x:row r="534">
      <x:c r="A534" t="str">
        <x:v>a2_new_minus_old_on_new_a1</x:v>
      </x:c>
      <x:c r="B534" t="str">
        <x:v>rewrite_faithful</x:v>
      </x:c>
      <x:c r="C534" t="str">
        <x:f>"qid:-7824075627194227170"</x:f>
        <x:v>qid:-7824075627194227170</x:v>
      </x:c>
      <x:c r="D534" s="14" t="str">
        <x:v>When was the commission fir sc/st established?</x:v>
      </x:c>
      <x:c r="E534" t="str">
        <x:v>new_old</x:v>
      </x:c>
      <x:c r="F534" t="str">
        <x:v>new_new</x:v>
      </x:c>
      <x:c r="G534" s="34" t="n">
        <x:v>1</x:v>
      </x:c>
      <x:c r="H534" s="34" t="n">
        <x:v>1</x:v>
      </x:c>
      <x:c r="I534" s="34" t="n">
        <x:v>0</x:v>
      </x:c>
      <x:c r="J534" t="str">
        <x:v>unchanged</x:v>
      </x:c>
      <x:c r="K534" t="n">
        <x:v>1</x:v>
      </x:c>
      <x:c r="L534" t="n">
        <x:v>1</x:v>
      </x:c>
      <x:c r="M534" t="n">
        <x:v>1</x:v>
      </x:c>
      <x:c r="N534" t="n">
        <x:v>1</x:v>
      </x:c>
    </x:row>
    <x:row r="535">
      <x:c r="A535" t="str">
        <x:v>a2_new_minus_old_on_new_a1</x:v>
      </x:c>
      <x:c r="B535" t="str">
        <x:v>rewrite_faithful</x:v>
      </x:c>
      <x:c r="C535" t="str">
        <x:f>"qid:-8286966211355378010"</x:f>
        <x:v>qid:-8286966211355378010</x:v>
      </x:c>
      <x:c r="D535" s="14" t="str">
        <x:v>What is the objective of tour de france?</x:v>
      </x:c>
      <x:c r="E535" t="str">
        <x:v>new_old</x:v>
      </x:c>
      <x:c r="F535" t="str">
        <x:v>new_new</x:v>
      </x:c>
      <x:c r="G535" s="34" t="n">
        <x:v>0.3333333333333333</x:v>
      </x:c>
      <x:c r="H535" s="34" t="n">
        <x:v>0.6666666666666666</x:v>
      </x:c>
      <x:c r="I535" s="34" t="n">
        <x:v>0.3333333333333333</x:v>
      </x:c>
      <x:c r="J535" t="str">
        <x:v>improved</x:v>
      </x:c>
      <x:c r="K535" t="n">
        <x:v>1</x:v>
      </x:c>
      <x:c r="L535" t="n">
        <x:v>3</x:v>
      </x:c>
      <x:c r="M535" t="n">
        <x:v>2</x:v>
      </x:c>
      <x:c r="N535" t="n">
        <x:v>3</x:v>
      </x:c>
    </x:row>
    <x:row r="536">
      <x:c r="A536" t="str">
        <x:v>a2_new_minus_old_on_new_a1</x:v>
      </x:c>
      <x:c r="B536" t="str">
        <x:v>rewrite_faithful</x:v>
      </x:c>
      <x:c r="C536" t="str">
        <x:f>"qid:-9141149438582194391"</x:f>
        <x:v>qid:-9141149438582194391</x:v>
      </x:c>
      <x:c r="D536" s="14" t="str">
        <x:v>Who has scored the highest number of runs in test cricket?</x:v>
      </x:c>
      <x:c r="E536" t="str">
        <x:v>new_old</x:v>
      </x:c>
      <x:c r="F536" t="str">
        <x:v>new_new</x:v>
      </x:c>
      <x:c r="G536" s="34" t="n">
        <x:v>0.5</x:v>
      </x:c>
      <x:c r="H536" s="34" t="n">
        <x:v>0.5</x:v>
      </x:c>
      <x:c r="I536" s="34" t="n">
        <x:v>0</x:v>
      </x:c>
      <x:c r="J536" t="str">
        <x:v>unchanged</x:v>
      </x:c>
      <x:c r="K536" t="n">
        <x:v>1</x:v>
      </x:c>
      <x:c r="L536" t="n">
        <x:v>2</x:v>
      </x:c>
      <x:c r="M536" t="n">
        <x:v>1</x:v>
      </x:c>
      <x:c r="N536" t="n">
        <x:v>2</x:v>
      </x:c>
    </x:row>
    <x:row r="537">
      <x:c r="A537" t="str">
        <x:v>a2_new_minus_old_on_new_a1</x:v>
      </x:c>
      <x:c r="B537" t="str">
        <x:v>rewrite_faithful</x:v>
      </x:c>
      <x:c r="C537" t="str">
        <x:f>"qid:-99543908387769967"</x:f>
        <x:v>qid:-99543908387769967</x:v>
      </x:c>
      <x:c r="D537" s="14" t="str">
        <x:v>Who does sansa marry on game of thrones?</x:v>
      </x:c>
      <x:c r="E537" t="str">
        <x:v>new_old</x:v>
      </x:c>
      <x:c r="F537" t="str">
        <x:v>new_new</x:v>
      </x:c>
      <x:c r="G537" s="34" t="n">
        <x:v>0</x:v>
      </x:c>
      <x:c r="H537" s="34" t="n">
        <x:v>0</x:v>
      </x:c>
      <x:c r="I537" s="34" t="n">
        <x:v>0</x:v>
      </x:c>
      <x:c r="J537" t="str">
        <x:v>unchanged</x:v>
      </x:c>
      <x:c r="K537" t="n">
        <x:v>0</x:v>
      </x:c>
      <x:c r="L537" t="n">
        <x:v>1</x:v>
      </x:c>
      <x:c r="M537" t="n">
        <x:v>0</x:v>
      </x:c>
      <x:c r="N537" t="n">
        <x:v>1</x:v>
      </x:c>
    </x:row>
    <x:row r="538">
      <x:c r="A538" t="str">
        <x:v>a2_new_minus_old_on_new_a1</x:v>
      </x:c>
      <x:c r="B538" t="str">
        <x:v>rewrite_faithful</x:v>
      </x:c>
      <x:c r="C538" t="str">
        <x:f>"qid:16881061444712536"</x:f>
        <x:v>qid:16881061444712536</x:v>
      </x:c>
      <x:c r="D538" s="14" t="str">
        <x:v>Where does the amazon river start and finish?</x:v>
      </x:c>
      <x:c r="E538" t="str">
        <x:v>new_old</x:v>
      </x:c>
      <x:c r="F538" t="str">
        <x:v>new_new</x:v>
      </x:c>
      <x:c r="G538" s="34" t="n">
        <x:v>1</x:v>
      </x:c>
      <x:c r="H538" s="34" t="n">
        <x:v>1</x:v>
      </x:c>
      <x:c r="I538" s="34" t="n">
        <x:v>0</x:v>
      </x:c>
      <x:c r="J538" t="str">
        <x:v>unchanged</x:v>
      </x:c>
      <x:c r="K538" t="n">
        <x:v>2</x:v>
      </x:c>
      <x:c r="L538" t="n">
        <x:v>2</x:v>
      </x:c>
      <x:c r="M538" t="n">
        <x:v>2</x:v>
      </x:c>
      <x:c r="N538" t="n">
        <x:v>2</x:v>
      </x:c>
    </x:row>
    <x:row r="539">
      <x:c r="A539" t="str">
        <x:v>a2_new_minus_old_on_new_a1</x:v>
      </x:c>
      <x:c r="B539" t="str">
        <x:v>rewrite_faithful</x:v>
      </x:c>
      <x:c r="C539" t="str">
        <x:f>"qid:1763163294931046731"</x:f>
        <x:v>qid:1763163294931046731</x:v>
      </x:c>
      <x:c r="D539" s="14" t="str">
        <x:v>Who played violet rutherford on leave it to beaver?</x:v>
      </x:c>
      <x:c r="E539" t="str">
        <x:v>new_old</x:v>
      </x:c>
      <x:c r="F539" t="str">
        <x:v>new_new</x:v>
      </x:c>
      <x:c r="G539" s="34" t="n">
        <x:v>1</x:v>
      </x:c>
      <x:c r="H539" s="34" t="n">
        <x:v>1</x:v>
      </x:c>
      <x:c r="I539" s="34" t="n">
        <x:v>0</x:v>
      </x:c>
      <x:c r="J539" t="str">
        <x:v>unchanged</x:v>
      </x:c>
      <x:c r="K539" t="n">
        <x:v>1</x:v>
      </x:c>
      <x:c r="L539" t="n">
        <x:v>1</x:v>
      </x:c>
      <x:c r="M539" t="n">
        <x:v>1</x:v>
      </x:c>
      <x:c r="N539" t="n">
        <x:v>1</x:v>
      </x:c>
    </x:row>
    <x:row r="540">
      <x:c r="A540" t="str">
        <x:v>a2_new_minus_old_on_new_a1</x:v>
      </x:c>
      <x:c r="B540" t="str">
        <x:v>rewrite_faithful</x:v>
      </x:c>
      <x:c r="C540" t="str">
        <x:f>"qid:2221044921312683785"</x:f>
        <x:v>qid:2221044921312683785</x:v>
      </x:c>
      <x:c r="D540" s="14" t="str">
        <x:v>When did the apple tv 4k come out?</x:v>
      </x:c>
      <x:c r="E540" t="str">
        <x:v>new_old</x:v>
      </x:c>
      <x:c r="F540" t="str">
        <x:v>new_new</x:v>
      </x:c>
      <x:c r="G540" s="34" t="n">
        <x:v>1</x:v>
      </x:c>
      <x:c r="H540" s="34" t="n">
        <x:v>0</x:v>
      </x:c>
      <x:c r="I540" s="34" t="n">
        <x:v>-1</x:v>
      </x:c>
      <x:c r="J540" t="str">
        <x:v>regressed</x:v>
      </x:c>
      <x:c r="K540" t="n">
        <x:v>1</x:v>
      </x:c>
      <x:c r="L540" t="n">
        <x:v>1</x:v>
      </x:c>
      <x:c r="M540" t="n">
        <x:v>0</x:v>
      </x:c>
      <x:c r="N540" t="n">
        <x:v>1</x:v>
      </x:c>
    </x:row>
    <x:row r="541">
      <x:c r="A541" t="str">
        <x:v>a2_new_minus_old_on_new_a1</x:v>
      </x:c>
      <x:c r="B541" t="str">
        <x:v>rewrite_faithful</x:v>
      </x:c>
      <x:c r="C541" t="str">
        <x:f>"qid:2469112227919120438"</x:f>
        <x:v>qid:2469112227919120438</x:v>
      </x:c>
      <x:c r="D541" s="14" t="str">
        <x:v>The creation of the senate was based on the?</x:v>
      </x:c>
      <x:c r="E541" t="str">
        <x:v>new_old</x:v>
      </x:c>
      <x:c r="F541" t="str">
        <x:v>new_new</x:v>
      </x:c>
      <x:c r="G541" s="34" t="n">
        <x:v>1</x:v>
      </x:c>
      <x:c r="H541" s="34" t="n">
        <x:v>1</x:v>
      </x:c>
      <x:c r="I541" s="34" t="n">
        <x:v>0</x:v>
      </x:c>
      <x:c r="J541" t="str">
        <x:v>unchanged</x:v>
      </x:c>
      <x:c r="K541" t="n">
        <x:v>1</x:v>
      </x:c>
      <x:c r="L541" t="n">
        <x:v>1</x:v>
      </x:c>
      <x:c r="M541" t="n">
        <x:v>1</x:v>
      </x:c>
      <x:c r="N541" t="n">
        <x:v>1</x:v>
      </x:c>
    </x:row>
    <x:row r="542">
      <x:c r="A542" t="str">
        <x:v>a2_new_minus_old_on_new_a1</x:v>
      </x:c>
      <x:c r="B542" t="str">
        <x:v>rewrite_faithful</x:v>
      </x:c>
      <x:c r="C542" t="str">
        <x:f>"qid:3605104154738105404"</x:f>
        <x:v>qid:3605104154738105404</x:v>
      </x:c>
      <x:c r="D542" s="14" t="str">
        <x:v>What episode does jason gideon die in criminal minds?</x:v>
      </x:c>
      <x:c r="E542" t="str">
        <x:v>new_old</x:v>
      </x:c>
      <x:c r="F542" t="str">
        <x:v>new_new</x:v>
      </x:c>
      <x:c r="G542" s="34" t="n">
        <x:v>1</x:v>
      </x:c>
      <x:c r="H542" s="34" t="n">
        <x:v>1</x:v>
      </x:c>
      <x:c r="I542" s="34" t="n">
        <x:v>0</x:v>
      </x:c>
      <x:c r="J542" t="str">
        <x:v>unchanged</x:v>
      </x:c>
      <x:c r="K542" t="n">
        <x:v>1</x:v>
      </x:c>
      <x:c r="L542" t="n">
        <x:v>1</x:v>
      </x:c>
      <x:c r="M542" t="n">
        <x:v>1</x:v>
      </x:c>
      <x:c r="N542" t="n">
        <x:v>1</x:v>
      </x:c>
    </x:row>
    <x:row r="543">
      <x:c r="A543" t="str">
        <x:v>a2_new_minus_old_on_new_a1</x:v>
      </x:c>
      <x:c r="B543" t="str">
        <x:v>rewrite_faithful</x:v>
      </x:c>
      <x:c r="C543" t="str">
        <x:f>"qid:3643093465010420057"</x:f>
        <x:v>qid:3643093465010420057</x:v>
      </x:c>
      <x:c r="D543" s="14" t="str">
        <x:v>What city in texas has the highest elevation?</x:v>
      </x:c>
      <x:c r="E543" t="str">
        <x:v>new_old</x:v>
      </x:c>
      <x:c r="F543" t="str">
        <x:v>new_new</x:v>
      </x:c>
      <x:c r="G543" s="34" t="n">
        <x:v>0.5</x:v>
      </x:c>
      <x:c r="H543" s="34" t="n">
        <x:v>0.5</x:v>
      </x:c>
      <x:c r="I543" s="34" t="n">
        <x:v>0</x:v>
      </x:c>
      <x:c r="J543" t="str">
        <x:v>unchanged</x:v>
      </x:c>
      <x:c r="K543" t="n">
        <x:v>1</x:v>
      </x:c>
      <x:c r="L543" t="n">
        <x:v>2</x:v>
      </x:c>
      <x:c r="M543" t="n">
        <x:v>1</x:v>
      </x:c>
      <x:c r="N543" t="n">
        <x:v>2</x:v>
      </x:c>
    </x:row>
    <x:row r="544">
      <x:c r="A544" t="str">
        <x:v>a2_new_minus_old_on_new_a1</x:v>
      </x:c>
      <x:c r="B544" t="str">
        <x:v>rewrite_faithful</x:v>
      </x:c>
      <x:c r="C544" t="str">
        <x:f>"qid:4150448921344430432"</x:f>
        <x:v>qid:4150448921344430432</x:v>
      </x:c>
      <x:c r="D544" s="14" t="str">
        <x:v>Who were the original twins in everybody loves raymond?</x:v>
      </x:c>
      <x:c r="E544" t="str">
        <x:v>new_old</x:v>
      </x:c>
      <x:c r="F544" t="str">
        <x:v>new_new</x:v>
      </x:c>
      <x:c r="G544" s="34" t="n">
        <x:v>0</x:v>
      </x:c>
      <x:c r="H544" s="34" t="n">
        <x:v>0</x:v>
      </x:c>
      <x:c r="I544" s="34" t="n">
        <x:v>0</x:v>
      </x:c>
      <x:c r="J544" t="str">
        <x:v>unchanged</x:v>
      </x:c>
      <x:c r="K544" t="n">
        <x:v>0</x:v>
      </x:c>
      <x:c r="L544" t="n">
        <x:v>1</x:v>
      </x:c>
      <x:c r="M544" t="n">
        <x:v>0</x:v>
      </x:c>
      <x:c r="N544" t="n">
        <x:v>1</x:v>
      </x:c>
    </x:row>
    <x:row r="545">
      <x:c r="A545" t="str">
        <x:v>a2_new_minus_old_on_new_a1</x:v>
      </x:c>
      <x:c r="B545" t="str">
        <x:v>rewrite_faithful</x:v>
      </x:c>
      <x:c r="C545" t="str">
        <x:f>"qid:4183252176965080529"</x:f>
        <x:v>qid:4183252176965080529</x:v>
      </x:c>
      <x:c r="D545" s="14" t="str">
        <x:v>When does the new independence day come out?</x:v>
      </x:c>
      <x:c r="E545" t="str">
        <x:v>new_old</x:v>
      </x:c>
      <x:c r="F545" t="str">
        <x:v>new_new</x:v>
      </x:c>
      <x:c r="G545" s="34" t="n">
        <x:v>0</x:v>
      </x:c>
      <x:c r="H545" s="34" t="n">
        <x:v>0</x:v>
      </x:c>
      <x:c r="I545" s="34" t="n">
        <x:v>0</x:v>
      </x:c>
      <x:c r="J545" t="str">
        <x:v>unchanged</x:v>
      </x:c>
      <x:c r="K545" t="n">
        <x:v>0</x:v>
      </x:c>
      <x:c r="L545" t="n">
        <x:v>1</x:v>
      </x:c>
      <x:c r="M545" t="n">
        <x:v>0</x:v>
      </x:c>
      <x:c r="N545" t="n">
        <x:v>1</x:v>
      </x:c>
    </x:row>
    <x:row r="546">
      <x:c r="A546" t="str">
        <x:v>a2_new_minus_old_on_new_a1</x:v>
      </x:c>
      <x:c r="B546" t="str">
        <x:v>rewrite_faithful</x:v>
      </x:c>
      <x:c r="C546" t="str">
        <x:f>"qid:4474597907223412132"</x:f>
        <x:v>qid:4474597907223412132</x:v>
      </x:c>
      <x:c r="D546" s="14" t="str">
        <x:v>Who were the two astronauts who stayed a year on the iss?</x:v>
      </x:c>
      <x:c r="E546" t="str">
        <x:v>new_old</x:v>
      </x:c>
      <x:c r="F546" t="str">
        <x:v>new_new</x:v>
      </x:c>
      <x:c r="G546" s="34" t="n">
        <x:v>1</x:v>
      </x:c>
      <x:c r="H546" s="34" t="n">
        <x:v>1</x:v>
      </x:c>
      <x:c r="I546" s="34" t="n">
        <x:v>0</x:v>
      </x:c>
      <x:c r="J546" t="str">
        <x:v>unchanged</x:v>
      </x:c>
      <x:c r="K546" t="n">
        <x:v>1</x:v>
      </x:c>
      <x:c r="L546" t="n">
        <x:v>1</x:v>
      </x:c>
      <x:c r="M546" t="n">
        <x:v>1</x:v>
      </x:c>
      <x:c r="N546" t="n">
        <x:v>1</x:v>
      </x:c>
    </x:row>
    <x:row r="547">
      <x:c r="A547" t="str">
        <x:v>a2_new_minus_old_on_new_a1</x:v>
      </x:c>
      <x:c r="B547" t="str">
        <x:v>rewrite_faithful</x:v>
      </x:c>
      <x:c r="C547" t="str">
        <x:f>"qid:586233275728240023"</x:f>
        <x:v>qid:586233275728240023</x:v>
      </x:c>
      <x:c r="D547" s="14" t="str">
        <x:v>What is the os of samsung smart tv?</x:v>
      </x:c>
      <x:c r="E547" t="str">
        <x:v>new_old</x:v>
      </x:c>
      <x:c r="F547" t="str">
        <x:v>new_new</x:v>
      </x:c>
      <x:c r="G547" s="34" t="n">
        <x:v>1</x:v>
      </x:c>
      <x:c r="H547" s="34" t="n">
        <x:v>1</x:v>
      </x:c>
      <x:c r="I547" s="34" t="n">
        <x:v>0</x:v>
      </x:c>
      <x:c r="J547" t="str">
        <x:v>unchanged</x:v>
      </x:c>
      <x:c r="K547" t="n">
        <x:v>1</x:v>
      </x:c>
      <x:c r="L547" t="n">
        <x:v>1</x:v>
      </x:c>
      <x:c r="M547" t="n">
        <x:v>1</x:v>
      </x:c>
      <x:c r="N547" t="n">
        <x:v>1</x:v>
      </x:c>
    </x:row>
    <x:row r="548">
      <x:c r="A548" t="str">
        <x:v>a2_new_minus_old_on_new_a1</x:v>
      </x:c>
      <x:c r="B548" t="str">
        <x:v>rewrite_faithful</x:v>
      </x:c>
      <x:c r="C548" t="str">
        <x:f>"qid:6257465985316109835"</x:f>
        <x:v>qid:6257465985316109835</x:v>
      </x:c>
      <x:c r="D548" s="14" t="str">
        <x:v>Who is the main character in liv and maddie?</x:v>
      </x:c>
      <x:c r="E548" t="str">
        <x:v>new_old</x:v>
      </x:c>
      <x:c r="F548" t="str">
        <x:v>new_new</x:v>
      </x:c>
      <x:c r="G548" s="34" t="n">
        <x:v>0</x:v>
      </x:c>
      <x:c r="H548" s="34" t="n">
        <x:v>0</x:v>
      </x:c>
      <x:c r="I548" s="34" t="n">
        <x:v>0</x:v>
      </x:c>
      <x:c r="J548" t="str">
        <x:v>unchanged</x:v>
      </x:c>
      <x:c r="K548" t="n">
        <x:v>0</x:v>
      </x:c>
      <x:c r="L548" t="n">
        <x:v>1</x:v>
      </x:c>
      <x:c r="M548" t="n">
        <x:v>0</x:v>
      </x:c>
      <x:c r="N548" t="n">
        <x:v>1</x:v>
      </x:c>
    </x:row>
    <x:row r="549">
      <x:c r="A549" t="str">
        <x:v>a2_new_minus_old_on_new_a1</x:v>
      </x:c>
      <x:c r="B549" t="str">
        <x:v>rewrite_faithful</x:v>
      </x:c>
      <x:c r="C549" t="str">
        <x:f>"qid:6514531923811923780"</x:f>
        <x:v>qid:6514531923811923780</x:v>
      </x:c>
      <x:c r="D549" s="14" t="str">
        <x:v>When does disney's food and wine festival end?</x:v>
      </x:c>
      <x:c r="E549" t="str">
        <x:v>new_old</x:v>
      </x:c>
      <x:c r="F549" t="str">
        <x:v>new_new</x:v>
      </x:c>
      <x:c r="G549" s="34" t="n">
        <x:v>1</x:v>
      </x:c>
      <x:c r="H549" s="34" t="n">
        <x:v>1</x:v>
      </x:c>
      <x:c r="I549" s="34" t="n">
        <x:v>0</x:v>
      </x:c>
      <x:c r="J549" t="str">
        <x:v>unchanged</x:v>
      </x:c>
      <x:c r="K549" t="n">
        <x:v>1</x:v>
      </x:c>
      <x:c r="L549" t="n">
        <x:v>1</x:v>
      </x:c>
      <x:c r="M549" t="n">
        <x:v>1</x:v>
      </x:c>
      <x:c r="N549" t="n">
        <x:v>1</x:v>
      </x:c>
    </x:row>
    <x:row r="550">
      <x:c r="A550" t="str">
        <x:v>a2_new_minus_old_on_new_a1</x:v>
      </x:c>
      <x:c r="B550" t="str">
        <x:v>rewrite_faithful</x:v>
      </x:c>
      <x:c r="C550" t="str">
        <x:f>"qid:6776234528515962047"</x:f>
        <x:v>qid:6776234528515962047</x:v>
      </x:c>
      <x:c r="D550" s="14" t="str">
        <x:v>Who is the most run in cricket history?</x:v>
      </x:c>
      <x:c r="E550" t="str">
        <x:v>new_old</x:v>
      </x:c>
      <x:c r="F550" t="str">
        <x:v>new_new</x:v>
      </x:c>
      <x:c r="G550" s="34" t="n">
        <x:v>1</x:v>
      </x:c>
      <x:c r="H550" s="34" t="n">
        <x:v>1</x:v>
      </x:c>
      <x:c r="I550" s="34" t="n">
        <x:v>0</x:v>
      </x:c>
      <x:c r="J550" t="str">
        <x:v>unchanged</x:v>
      </x:c>
      <x:c r="K550" t="n">
        <x:v>1</x:v>
      </x:c>
      <x:c r="L550" t="n">
        <x:v>1</x:v>
      </x:c>
      <x:c r="M550" t="n">
        <x:v>1</x:v>
      </x:c>
      <x:c r="N550" t="n">
        <x:v>1</x:v>
      </x:c>
    </x:row>
    <x:row r="551">
      <x:c r="A551" t="str">
        <x:v>a2_new_minus_old_on_new_a1</x:v>
      </x:c>
      <x:c r="B551" t="str">
        <x:v>rewrite_faithful</x:v>
      </x:c>
      <x:c r="C551" t="str">
        <x:f>"qid:6962706727076805207"</x:f>
        <x:v>qid:6962706727076805207</x:v>
      </x:c>
      <x:c r="D551" s="14" t="str">
        <x:v>What kind of car in to catch a thief?</x:v>
      </x:c>
      <x:c r="E551" t="str">
        <x:v>new_old</x:v>
      </x:c>
      <x:c r="F551" t="str">
        <x:v>new_new</x:v>
      </x:c>
      <x:c r="G551" s="34" t="n">
        <x:v>1</x:v>
      </x:c>
      <x:c r="H551" s="34" t="n">
        <x:v>1</x:v>
      </x:c>
      <x:c r="I551" s="34" t="n">
        <x:v>0</x:v>
      </x:c>
      <x:c r="J551" t="str">
        <x:v>unchanged</x:v>
      </x:c>
      <x:c r="K551" t="n">
        <x:v>1</x:v>
      </x:c>
      <x:c r="L551" t="n">
        <x:v>1</x:v>
      </x:c>
      <x:c r="M551" t="n">
        <x:v>1</x:v>
      </x:c>
      <x:c r="N551" t="n">
        <x:v>1</x:v>
      </x:c>
    </x:row>
    <x:row r="552">
      <x:c r="A552" t="str">
        <x:v>a2_new_minus_old_on_new_a1</x:v>
      </x:c>
      <x:c r="B552" t="str">
        <x:v>rewrite_faithful</x:v>
      </x:c>
      <x:c r="C552" t="str">
        <x:f>"qid:7150599999316106461"</x:f>
        <x:v>qid:7150599999316106461</x:v>
      </x:c>
      <x:c r="D552" s="14" t="str">
        <x:v>Who was the first singing brothers in the hall of fame?</x:v>
      </x:c>
      <x:c r="E552" t="str">
        <x:v>new_old</x:v>
      </x:c>
      <x:c r="F552" t="str">
        <x:v>new_new</x:v>
      </x:c>
      <x:c r="G552" s="34" t="n">
        <x:v>1</x:v>
      </x:c>
      <x:c r="H552" s="34" t="n">
        <x:v>1</x:v>
      </x:c>
      <x:c r="I552" s="34" t="n">
        <x:v>0</x:v>
      </x:c>
      <x:c r="J552" t="str">
        <x:v>unchanged</x:v>
      </x:c>
      <x:c r="K552" t="n">
        <x:v>1</x:v>
      </x:c>
      <x:c r="L552" t="n">
        <x:v>1</x:v>
      </x:c>
      <x:c r="M552" t="n">
        <x:v>1</x:v>
      </x:c>
      <x:c r="N552" t="n">
        <x:v>1</x:v>
      </x:c>
    </x:row>
    <x:row r="553">
      <x:c r="A553" t="str">
        <x:v>a2_new_minus_old_on_new_a1</x:v>
      </x:c>
      <x:c r="B553" t="str">
        <x:v>rewrite_faithful</x:v>
      </x:c>
      <x:c r="C553" t="str">
        <x:f>"qid:732619765350082410"</x:f>
        <x:v>qid:732619765350082410</x:v>
      </x:c>
      <x:c r="D553" s="14" t="str">
        <x:v>When did toronto host the mlb all-star game?</x:v>
      </x:c>
      <x:c r="E553" t="str">
        <x:v>new_old</x:v>
      </x:c>
      <x:c r="F553" t="str">
        <x:v>new_new</x:v>
      </x:c>
      <x:c r="G553" s="34" t="n">
        <x:v>1</x:v>
      </x:c>
      <x:c r="H553" s="34" t="n">
        <x:v>1</x:v>
      </x:c>
      <x:c r="I553" s="34" t="n">
        <x:v>0</x:v>
      </x:c>
      <x:c r="J553" t="str">
        <x:v>unchanged</x:v>
      </x:c>
      <x:c r="K553" t="n">
        <x:v>1</x:v>
      </x:c>
      <x:c r="L553" t="n">
        <x:v>1</x:v>
      </x:c>
      <x:c r="M553" t="n">
        <x:v>1</x:v>
      </x:c>
      <x:c r="N553" t="n">
        <x:v>1</x:v>
      </x:c>
    </x:row>
    <x:row r="554">
      <x:c r="A554" t="str">
        <x:v>a2_new_minus_old_on_new_a1</x:v>
      </x:c>
      <x:c r="B554" t="str">
        <x:v>rewrite_faithful</x:v>
      </x:c>
      <x:c r="C554" t="str">
        <x:f>"qid:743600309736467122"</x:f>
        <x:v>qid:743600309736467122</x:v>
      </x:c>
      <x:c r="D554" s="14" t="str">
        <x:v>When was on the revolutions of the heavenly spheres published?</x:v>
      </x:c>
      <x:c r="E554" t="str">
        <x:v>new_old</x:v>
      </x:c>
      <x:c r="F554" t="str">
        <x:v>new_new</x:v>
      </x:c>
      <x:c r="G554" s="34" t="n">
        <x:v>0</x:v>
      </x:c>
      <x:c r="H554" s="34" t="n">
        <x:v>0</x:v>
      </x:c>
      <x:c r="I554" s="34" t="n">
        <x:v>0</x:v>
      </x:c>
      <x:c r="J554" t="str">
        <x:v>unchanged</x:v>
      </x:c>
      <x:c r="K554" t="n">
        <x:v>0</x:v>
      </x:c>
      <x:c r="L554" t="n">
        <x:v>2</x:v>
      </x:c>
      <x:c r="M554" t="n">
        <x:v>0</x:v>
      </x:c>
      <x:c r="N554" t="n">
        <x:v>2</x:v>
      </x:c>
    </x:row>
    <x:row r="555">
      <x:c r="A555" t="str">
        <x:v>a2_new_minus_old_on_new_a1</x:v>
      </x:c>
      <x:c r="B555" t="str">
        <x:v>rewrite_faithful</x:v>
      </x:c>
      <x:c r="C555" t="str">
        <x:f>"qid:7494804303418493420"</x:f>
        <x:v>qid:7494804303418493420</x:v>
      </x:c>
      <x:c r="D555" s="14" t="str">
        <x:v>Movie with the song sunshine on my shoulders?</x:v>
      </x:c>
      <x:c r="E555" t="str">
        <x:v>new_old</x:v>
      </x:c>
      <x:c r="F555" t="str">
        <x:v>new_new</x:v>
      </x:c>
      <x:c r="G555" s="34" t="n">
        <x:v>1</x:v>
      </x:c>
      <x:c r="H555" s="34" t="n">
        <x:v>1</x:v>
      </x:c>
      <x:c r="I555" s="34" t="n">
        <x:v>0</x:v>
      </x:c>
      <x:c r="J555" t="str">
        <x:v>unchanged</x:v>
      </x:c>
      <x:c r="K555" t="n">
        <x:v>2</x:v>
      </x:c>
      <x:c r="L555" t="n">
        <x:v>2</x:v>
      </x:c>
      <x:c r="M555" t="n">
        <x:v>2</x:v>
      </x:c>
      <x:c r="N555" t="n">
        <x:v>2</x:v>
      </x:c>
    </x:row>
    <x:row r="556">
      <x:c r="A556" t="str">
        <x:v>a2_new_minus_old_on_new_a1</x:v>
      </x:c>
      <x:c r="B556" t="str">
        <x:v>rewrite_faithful</x:v>
      </x:c>
      <x:c r="C556" t="str">
        <x:f>"qid:7797208395147217894"</x:f>
        <x:v>qid:7797208395147217894</x:v>
      </x:c>
      <x:c r="D556" s="14" t="str">
        <x:v>When did west germany win the world cup?</x:v>
      </x:c>
      <x:c r="E556" t="str">
        <x:v>new_old</x:v>
      </x:c>
      <x:c r="F556" t="str">
        <x:v>new_new</x:v>
      </x:c>
      <x:c r="G556" s="34" t="n">
        <x:v>1</x:v>
      </x:c>
      <x:c r="H556" s="34" t="n">
        <x:v>1</x:v>
      </x:c>
      <x:c r="I556" s="34" t="n">
        <x:v>0</x:v>
      </x:c>
      <x:c r="J556" t="str">
        <x:v>unchanged</x:v>
      </x:c>
      <x:c r="K556" t="n">
        <x:v>2</x:v>
      </x:c>
      <x:c r="L556" t="n">
        <x:v>2</x:v>
      </x:c>
      <x:c r="M556" t="n">
        <x:v>2</x:v>
      </x:c>
      <x:c r="N556" t="n">
        <x:v>2</x:v>
      </x:c>
    </x:row>
    <x:row r="557">
      <x:c r="A557" t="str">
        <x:v>a2_new_minus_old_on_new_a1</x:v>
      </x:c>
      <x:c r="B557" t="str">
        <x:v>rewrite_faithful</x:v>
      </x:c>
      <x:c r="C557" t="str">
        <x:f>"qid:8433533625736230886"</x:f>
        <x:v>qid:8433533625736230886</x:v>
      </x:c>
      <x:c r="D557" s="14" t="str">
        <x:v>Who has won the most trophies man utd or liverpool?</x:v>
      </x:c>
      <x:c r="E557" t="str">
        <x:v>new_old</x:v>
      </x:c>
      <x:c r="F557" t="str">
        <x:v>new_new</x:v>
      </x:c>
      <x:c r="G557" s="34" t="n">
        <x:v>1</x:v>
      </x:c>
      <x:c r="H557" s="34" t="n">
        <x:v>1</x:v>
      </x:c>
      <x:c r="I557" s="34" t="n">
        <x:v>0</x:v>
      </x:c>
      <x:c r="J557" t="str">
        <x:v>unchanged</x:v>
      </x:c>
      <x:c r="K557" t="n">
        <x:v>1</x:v>
      </x:c>
      <x:c r="L557" t="n">
        <x:v>1</x:v>
      </x:c>
      <x:c r="M557" t="n">
        <x:v>1</x:v>
      </x:c>
      <x:c r="N557" t="n">
        <x:v>1</x:v>
      </x:c>
    </x:row>
    <x:row r="558">
      <x:c r="A558" t="str">
        <x:v>a2_new_minus_old_on_new_a1</x:v>
      </x:c>
      <x:c r="B558" t="str">
        <x:v>rewrite_faithful</x:v>
      </x:c>
      <x:c r="C558" t="str">
        <x:f>"qid:8686216144939155905"</x:f>
        <x:v>qid:8686216144939155905</x:v>
      </x:c>
      <x:c r="D558" s="14" t="str">
        <x:v>What is the name of the time zone for london?</x:v>
      </x:c>
      <x:c r="E558" t="str">
        <x:v>new_old</x:v>
      </x:c>
      <x:c r="F558" t="str">
        <x:v>new_new</x:v>
      </x:c>
      <x:c r="G558" s="34" t="n">
        <x:v>1</x:v>
      </x:c>
      <x:c r="H558" s="34" t="n">
        <x:v>1</x:v>
      </x:c>
      <x:c r="I558" s="34" t="n">
        <x:v>0</x:v>
      </x:c>
      <x:c r="J558" t="str">
        <x:v>unchanged</x:v>
      </x:c>
      <x:c r="K558" t="n">
        <x:v>1</x:v>
      </x:c>
      <x:c r="L558" t="n">
        <x:v>1</x:v>
      </x:c>
      <x:c r="M558" t="n">
        <x:v>1</x:v>
      </x:c>
      <x:c r="N558" t="n">
        <x:v>1</x:v>
      </x:c>
    </x:row>
    <x:row r="559">
      <x:c r="A559" t="str">
        <x:v>a2_new_minus_old_on_new_a1</x:v>
      </x:c>
      <x:c r="B559" t="str">
        <x:v>rewrite_faithful</x:v>
      </x:c>
      <x:c r="C559" t="str">
        <x:f>"qid:87005427005915954"</x:f>
        <x:v>qid:87005427005915954</x:v>
      </x:c>
      <x:c r="D559" s="14" t="str">
        <x:v>When was the last time galway won the hurling all ireland?</x:v>
      </x:c>
      <x:c r="E559" t="str">
        <x:v>new_old</x:v>
      </x:c>
      <x:c r="F559" t="str">
        <x:v>new_new</x:v>
      </x:c>
      <x:c r="G559" s="34" t="n">
        <x:v>1</x:v>
      </x:c>
      <x:c r="H559" s="34" t="n">
        <x:v>1</x:v>
      </x:c>
      <x:c r="I559" s="34" t="n">
        <x:v>0</x:v>
      </x:c>
      <x:c r="J559" t="str">
        <x:v>unchanged</x:v>
      </x:c>
      <x:c r="K559" t="n">
        <x:v>1</x:v>
      </x:c>
      <x:c r="L559" t="n">
        <x:v>1</x:v>
      </x:c>
      <x:c r="M559" t="n">
        <x:v>1</x:v>
      </x:c>
      <x:c r="N559" t="n">
        <x:v>1</x:v>
      </x:c>
    </x:row>
    <x:row r="560">
      <x:c r="A560" t="str">
        <x:v>a2_coverage_new_minus_old_on_old_a1</x:v>
      </x:c>
      <x:c r="B560" t="str">
        <x:v>fact_coverage_ordinal</x:v>
      </x:c>
      <x:c r="C560" t="str">
        <x:f>"qid:-1062522255440685408"</x:f>
        <x:v>qid:-1062522255440685408</x:v>
      </x:c>
      <x:c r="D560" s="14" t="str">
        <x:v>When did the first generation kindle fire come out?</x:v>
      </x:c>
      <x:c r="E560" t="str">
        <x:v>old_old</x:v>
      </x:c>
      <x:c r="F560" t="str">
        <x:v>old_new</x:v>
      </x:c>
      <x:c r="G560" s="34" t="n">
        <x:v>1</x:v>
      </x:c>
      <x:c r="H560" s="34" t="n">
        <x:v>1</x:v>
      </x:c>
      <x:c r="I560" s="34" t="n">
        <x:v>0</x:v>
      </x:c>
      <x:c r="J560" t="str">
        <x:v>unchanged</x:v>
      </x:c>
      <x:c r="K560" t="str">
        <x:v>complete</x:v>
      </x:c>
      <x:c r="L560" t="n">
        <x:v>1</x:v>
      </x:c>
      <x:c r="M560" t="str">
        <x:v>complete</x:v>
      </x:c>
      <x:c r="N560" t="n">
        <x:v>1</x:v>
      </x:c>
    </x:row>
    <x:row r="561">
      <x:c r="A561" t="str">
        <x:v>a2_coverage_new_minus_old_on_old_a1</x:v>
      </x:c>
      <x:c r="B561" t="str">
        <x:v>fact_coverage_ordinal</x:v>
      </x:c>
      <x:c r="C561" t="str">
        <x:f>"qid:-2585133819352441604"</x:f>
        <x:v>qid:-2585133819352441604</x:v>
      </x:c>
      <x:c r="D561" s="14" t="str">
        <x:v>Name of first episode of this is us?</x:v>
      </x:c>
      <x:c r="E561" t="str">
        <x:v>old_old</x:v>
      </x:c>
      <x:c r="F561" t="str">
        <x:v>old_new</x:v>
      </x:c>
      <x:c r="G561" s="34" t="n">
        <x:v>1</x:v>
      </x:c>
      <x:c r="H561" s="34" t="n">
        <x:v>1</x:v>
      </x:c>
      <x:c r="I561" s="34" t="n">
        <x:v>0</x:v>
      </x:c>
      <x:c r="J561" t="str">
        <x:v>unchanged</x:v>
      </x:c>
      <x:c r="K561" t="str">
        <x:v>complete</x:v>
      </x:c>
      <x:c r="L561" t="n">
        <x:v>1</x:v>
      </x:c>
      <x:c r="M561" t="str">
        <x:v>complete</x:v>
      </x:c>
      <x:c r="N561" t="n">
        <x:v>1</x:v>
      </x:c>
    </x:row>
    <x:row r="562">
      <x:c r="A562" t="str">
        <x:v>a2_coverage_new_minus_old_on_old_a1</x:v>
      </x:c>
      <x:c r="B562" t="str">
        <x:v>fact_coverage_ordinal</x:v>
      </x:c>
      <x:c r="C562" t="str">
        <x:f>"qid:-3228483207040151533"</x:f>
        <x:v>qid:-3228483207040151533</x:v>
      </x:c>
      <x:c r="D562" s="14" t="str">
        <x:v>What bodies of water surround cabo san lucas?</x:v>
      </x:c>
      <x:c r="E562" t="str">
        <x:v>old_old</x:v>
      </x:c>
      <x:c r="F562" t="str">
        <x:v>old_new</x:v>
      </x:c>
      <x:c r="G562" s="34" t="n">
        <x:v>1</x:v>
      </x:c>
      <x:c r="H562" s="34" t="n">
        <x:v>1</x:v>
      </x:c>
      <x:c r="I562" s="34" t="n">
        <x:v>0</x:v>
      </x:c>
      <x:c r="J562" t="str">
        <x:v>unchanged</x:v>
      </x:c>
      <x:c r="K562" t="str">
        <x:v>complete</x:v>
      </x:c>
      <x:c r="L562" t="n">
        <x:v>1</x:v>
      </x:c>
      <x:c r="M562" t="str">
        <x:v>complete</x:v>
      </x:c>
      <x:c r="N562" t="n">
        <x:v>1</x:v>
      </x:c>
    </x:row>
    <x:row r="563">
      <x:c r="A563" t="str">
        <x:v>a2_coverage_new_minus_old_on_old_a1</x:v>
      </x:c>
      <x:c r="B563" t="str">
        <x:v>fact_coverage_ordinal</x:v>
      </x:c>
      <x:c r="C563" t="str">
        <x:f>"qid:-3279585462082900736"</x:f>
        <x:v>qid:-3279585462082900736</x:v>
      </x:c>
      <x:c r="D563" s="14" t="str">
        <x:v>Who gets fired on grey's anatomy season 6?</x:v>
      </x:c>
      <x:c r="E563" t="str">
        <x:v>old_old</x:v>
      </x:c>
      <x:c r="F563" t="str">
        <x:v>old_new</x:v>
      </x:c>
      <x:c r="G563" s="34" t="n">
        <x:v>0.5</x:v>
      </x:c>
      <x:c r="H563" s="34" t="n">
        <x:v>0.5</x:v>
      </x:c>
      <x:c r="I563" s="34" t="n">
        <x:v>0</x:v>
      </x:c>
      <x:c r="J563" t="str">
        <x:v>unchanged</x:v>
      </x:c>
      <x:c r="K563" t="str">
        <x:v>partial</x:v>
      </x:c>
      <x:c r="L563" t="n">
        <x:v>1</x:v>
      </x:c>
      <x:c r="M563" t="str">
        <x:v>partial</x:v>
      </x:c>
      <x:c r="N563" t="n">
        <x:v>1</x:v>
      </x:c>
    </x:row>
    <x:row r="564">
      <x:c r="A564" t="str">
        <x:v>a2_coverage_new_minus_old_on_old_a1</x:v>
      </x:c>
      <x:c r="B564" t="str">
        <x:v>fact_coverage_ordinal</x:v>
      </x:c>
      <x:c r="C564" t="str">
        <x:f>"qid:-3344541168958463110"</x:f>
        <x:v>qid:-3344541168958463110</x:v>
      </x:c>
      <x:c r="D564" s="14" t="str">
        <x:v>Who fought with an angel in the bible?</x:v>
      </x:c>
      <x:c r="E564" t="str">
        <x:v>old_old</x:v>
      </x:c>
      <x:c r="F564" t="str">
        <x:v>old_new</x:v>
      </x:c>
      <x:c r="G564" s="34" t="n">
        <x:v>0.5</x:v>
      </x:c>
      <x:c r="H564" s="34" t="n">
        <x:v>0.5</x:v>
      </x:c>
      <x:c r="I564" s="34" t="n">
        <x:v>0</x:v>
      </x:c>
      <x:c r="J564" t="str">
        <x:v>unchanged</x:v>
      </x:c>
      <x:c r="K564" t="str">
        <x:v>partial</x:v>
      </x:c>
      <x:c r="L564" t="n">
        <x:v>1</x:v>
      </x:c>
      <x:c r="M564" t="str">
        <x:v>partial</x:v>
      </x:c>
      <x:c r="N564" t="n">
        <x:v>1</x:v>
      </x:c>
    </x:row>
    <x:row r="565">
      <x:c r="A565" t="str">
        <x:v>a2_coverage_new_minus_old_on_old_a1</x:v>
      </x:c>
      <x:c r="B565" t="str">
        <x:v>fact_coverage_ordinal</x:v>
      </x:c>
      <x:c r="C565" t="str">
        <x:f>"qid:-4286108617234818000"</x:f>
        <x:v>qid:-4286108617234818000</x:v>
      </x:c>
      <x:c r="D565" s="14" t="str">
        <x:v>When does the new super troopers movie come out?</x:v>
      </x:c>
      <x:c r="E565" t="str">
        <x:v>old_old</x:v>
      </x:c>
      <x:c r="F565" t="str">
        <x:v>old_new</x:v>
      </x:c>
      <x:c r="G565" s="34" t="n">
        <x:v>0.5</x:v>
      </x:c>
      <x:c r="H565" s="34" t="n">
        <x:v>0.5</x:v>
      </x:c>
      <x:c r="I565" s="34" t="n">
        <x:v>0</x:v>
      </x:c>
      <x:c r="J565" t="str">
        <x:v>unchanged</x:v>
      </x:c>
      <x:c r="K565" t="str">
        <x:v>partial</x:v>
      </x:c>
      <x:c r="L565" t="n">
        <x:v>1</x:v>
      </x:c>
      <x:c r="M565" t="str">
        <x:v>partial</x:v>
      </x:c>
      <x:c r="N565" t="n">
        <x:v>1</x:v>
      </x:c>
    </x:row>
    <x:row r="566">
      <x:c r="A566" t="str">
        <x:v>a2_coverage_new_minus_old_on_old_a1</x:v>
      </x:c>
      <x:c r="B566" t="str">
        <x:v>fact_coverage_ordinal</x:v>
      </x:c>
      <x:c r="C566" t="str">
        <x:f>"qid:-4456614433280196572"</x:f>
        <x:v>qid:-4456614433280196572</x:v>
      </x:c>
      <x:c r="D566" s="14" t="str">
        <x:v>What season does meredith and derek get married in grey's anatomy?</x:v>
      </x:c>
      <x:c r="E566" t="str">
        <x:v>old_old</x:v>
      </x:c>
      <x:c r="F566" t="str">
        <x:v>old_new</x:v>
      </x:c>
      <x:c r="G566" s="34" t="n">
        <x:v>1</x:v>
      </x:c>
      <x:c r="H566" s="34" t="n">
        <x:v>1</x:v>
      </x:c>
      <x:c r="I566" s="34" t="n">
        <x:v>0</x:v>
      </x:c>
      <x:c r="J566" t="str">
        <x:v>unchanged</x:v>
      </x:c>
      <x:c r="K566" t="str">
        <x:v>complete</x:v>
      </x:c>
      <x:c r="L566" t="n">
        <x:v>1</x:v>
      </x:c>
      <x:c r="M566" t="str">
        <x:v>complete</x:v>
      </x:c>
      <x:c r="N566" t="n">
        <x:v>1</x:v>
      </x:c>
    </x:row>
    <x:row r="567">
      <x:c r="A567" t="str">
        <x:v>a2_coverage_new_minus_old_on_old_a1</x:v>
      </x:c>
      <x:c r="B567" t="str">
        <x:v>fact_coverage_ordinal</x:v>
      </x:c>
      <x:c r="C567" t="str">
        <x:f>"qid:-447198893588059167"</x:f>
        <x:v>qid:-447198893588059167</x:v>
      </x:c>
      <x:c r="D567" s="14" t="str">
        <x:v>Who played the father in leave it to beaver?</x:v>
      </x:c>
      <x:c r="E567" t="str">
        <x:v>old_old</x:v>
      </x:c>
      <x:c r="F567" t="str">
        <x:v>old_new</x:v>
      </x:c>
      <x:c r="G567" s="34" t="n">
        <x:v>1</x:v>
      </x:c>
      <x:c r="H567" s="34" t="n">
        <x:v>1</x:v>
      </x:c>
      <x:c r="I567" s="34" t="n">
        <x:v>0</x:v>
      </x:c>
      <x:c r="J567" t="str">
        <x:v>unchanged</x:v>
      </x:c>
      <x:c r="K567" t="str">
        <x:v>complete</x:v>
      </x:c>
      <x:c r="L567" t="n">
        <x:v>1</x:v>
      </x:c>
      <x:c r="M567" t="str">
        <x:v>complete</x:v>
      </x:c>
      <x:c r="N567" t="n">
        <x:v>1</x:v>
      </x:c>
    </x:row>
    <x:row r="568">
      <x:c r="A568" t="str">
        <x:v>a2_coverage_new_minus_old_on_old_a1</x:v>
      </x:c>
      <x:c r="B568" t="str">
        <x:v>fact_coverage_ordinal</x:v>
      </x:c>
      <x:c r="C568" t="str">
        <x:f>"qid:-4649654703638364295"</x:f>
        <x:v>qid:-4649654703638364295</x:v>
      </x:c>
      <x:c r="D568" s="14" t="str">
        <x:v>Who made it through the divisional finals world of dance?</x:v>
      </x:c>
      <x:c r="E568" t="str">
        <x:v>old_old</x:v>
      </x:c>
      <x:c r="F568" t="str">
        <x:v>old_new</x:v>
      </x:c>
      <x:c r="G568" s="34" t="n">
        <x:v>1</x:v>
      </x:c>
      <x:c r="H568" s="34" t="n">
        <x:v>1</x:v>
      </x:c>
      <x:c r="I568" s="34" t="n">
        <x:v>0</x:v>
      </x:c>
      <x:c r="J568" t="str">
        <x:v>unchanged</x:v>
      </x:c>
      <x:c r="K568" t="str">
        <x:v>complete</x:v>
      </x:c>
      <x:c r="L568" t="n">
        <x:v>1</x:v>
      </x:c>
      <x:c r="M568" t="str">
        <x:v>complete</x:v>
      </x:c>
      <x:c r="N568" t="n">
        <x:v>1</x:v>
      </x:c>
    </x:row>
    <x:row r="569">
      <x:c r="A569" t="str">
        <x:v>a2_coverage_new_minus_old_on_old_a1</x:v>
      </x:c>
      <x:c r="B569" t="str">
        <x:v>fact_coverage_ordinal</x:v>
      </x:c>
      <x:c r="C569" t="str">
        <x:f>"qid:-4873786835306543030"</x:f>
        <x:v>qid:-4873786835306543030</x:v>
      </x:c>
      <x:c r="D569" s="14" t="str">
        <x:v>Who is the chief minister of m. p?</x:v>
      </x:c>
      <x:c r="E569" t="str">
        <x:v>old_old</x:v>
      </x:c>
      <x:c r="F569" t="str">
        <x:v>old_new</x:v>
      </x:c>
      <x:c r="G569" s="34" t="n">
        <x:v>1</x:v>
      </x:c>
      <x:c r="H569" s="34" t="n">
        <x:v>1</x:v>
      </x:c>
      <x:c r="I569" s="34" t="n">
        <x:v>0</x:v>
      </x:c>
      <x:c r="J569" t="str">
        <x:v>unchanged</x:v>
      </x:c>
      <x:c r="K569" t="str">
        <x:v>complete</x:v>
      </x:c>
      <x:c r="L569" t="n">
        <x:v>1</x:v>
      </x:c>
      <x:c r="M569" t="str">
        <x:v>complete</x:v>
      </x:c>
      <x:c r="N569" t="n">
        <x:v>1</x:v>
      </x:c>
    </x:row>
    <x:row r="570">
      <x:c r="A570" t="str">
        <x:v>a2_coverage_new_minus_old_on_old_a1</x:v>
      </x:c>
      <x:c r="B570" t="str">
        <x:v>fact_coverage_ordinal</x:v>
      </x:c>
      <x:c r="C570" t="str">
        <x:f>"qid:-4995398567532229571"</x:f>
        <x:v>qid:-4995398567532229571</x:v>
      </x:c>
      <x:c r="D570" s="14" t="str">
        <x:v>When did ragtime flourished in the united states?</x:v>
      </x:c>
      <x:c r="E570" t="str">
        <x:v>old_old</x:v>
      </x:c>
      <x:c r="F570" t="str">
        <x:v>old_new</x:v>
      </x:c>
      <x:c r="G570" s="34" t="n">
        <x:v>1</x:v>
      </x:c>
      <x:c r="H570" s="34" t="n">
        <x:v>1</x:v>
      </x:c>
      <x:c r="I570" s="34" t="n">
        <x:v>0</x:v>
      </x:c>
      <x:c r="J570" t="str">
        <x:v>unchanged</x:v>
      </x:c>
      <x:c r="K570" t="str">
        <x:v>complete</x:v>
      </x:c>
      <x:c r="L570" t="n">
        <x:v>1</x:v>
      </x:c>
      <x:c r="M570" t="str">
        <x:v>complete</x:v>
      </x:c>
      <x:c r="N570" t="n">
        <x:v>1</x:v>
      </x:c>
    </x:row>
    <x:row r="571">
      <x:c r="A571" t="str">
        <x:v>a2_coverage_new_minus_old_on_old_a1</x:v>
      </x:c>
      <x:c r="B571" t="str">
        <x:v>fact_coverage_ordinal</x:v>
      </x:c>
      <x:c r="C571" t="str">
        <x:f>"qid:-5036947181661390825"</x:f>
        <x:v>qid:-5036947181661390825</x:v>
      </x:c>
      <x:c r="D571" s="14" t="str">
        <x:v>When was the vietnam veterans war memorial built?</x:v>
      </x:c>
      <x:c r="E571" t="str">
        <x:v>old_old</x:v>
      </x:c>
      <x:c r="F571" t="str">
        <x:v>old_new</x:v>
      </x:c>
      <x:c r="G571" s="34" t="n">
        <x:v>1</x:v>
      </x:c>
      <x:c r="H571" s="34" t="n">
        <x:v>1</x:v>
      </x:c>
      <x:c r="I571" s="34" t="n">
        <x:v>0</x:v>
      </x:c>
      <x:c r="J571" t="str">
        <x:v>unchanged</x:v>
      </x:c>
      <x:c r="K571" t="str">
        <x:v>complete</x:v>
      </x:c>
      <x:c r="L571" t="n">
        <x:v>1</x:v>
      </x:c>
      <x:c r="M571" t="str">
        <x:v>complete</x:v>
      </x:c>
      <x:c r="N571" t="n">
        <x:v>1</x:v>
      </x:c>
    </x:row>
    <x:row r="572">
      <x:c r="A572" t="str">
        <x:v>a2_coverage_new_minus_old_on_old_a1</x:v>
      </x:c>
      <x:c r="B572" t="str">
        <x:v>fact_coverage_ordinal</x:v>
      </x:c>
      <x:c r="C572" t="str">
        <x:f>"qid:-5116644172939113883"</x:f>
        <x:v>qid:-5116644172939113883</x:v>
      </x:c>
      <x:c r="D572" s="14" t="str">
        <x:v>Who raps in the gorillaz song clint eastwood?</x:v>
      </x:c>
      <x:c r="E572" t="str">
        <x:v>old_old</x:v>
      </x:c>
      <x:c r="F572" t="str">
        <x:v>old_new</x:v>
      </x:c>
      <x:c r="G572" s="34" t="n">
        <x:v>1</x:v>
      </x:c>
      <x:c r="H572" s="34" t="n">
        <x:v>1</x:v>
      </x:c>
      <x:c r="I572" s="34" t="n">
        <x:v>0</x:v>
      </x:c>
      <x:c r="J572" t="str">
        <x:v>unchanged</x:v>
      </x:c>
      <x:c r="K572" t="str">
        <x:v>complete</x:v>
      </x:c>
      <x:c r="L572" t="n">
        <x:v>1</x:v>
      </x:c>
      <x:c r="M572" t="str">
        <x:v>complete</x:v>
      </x:c>
      <x:c r="N572" t="n">
        <x:v>1</x:v>
      </x:c>
    </x:row>
    <x:row r="573">
      <x:c r="A573" t="str">
        <x:v>a2_coverage_new_minus_old_on_old_a1</x:v>
      </x:c>
      <x:c r="B573" t="str">
        <x:v>fact_coverage_ordinal</x:v>
      </x:c>
      <x:c r="C573" t="str">
        <x:f>"qid:-5333049627570569397"</x:f>
        <x:v>qid:-5333049627570569397</x:v>
      </x:c>
      <x:c r="D573" s="14" t="str">
        <x:v>When did the song can't touch this come out?</x:v>
      </x:c>
      <x:c r="E573" t="str">
        <x:v>old_old</x:v>
      </x:c>
      <x:c r="F573" t="str">
        <x:v>old_new</x:v>
      </x:c>
      <x:c r="G573" s="34" t="n">
        <x:v>1</x:v>
      </x:c>
      <x:c r="H573" s="34" t="n">
        <x:v>1</x:v>
      </x:c>
      <x:c r="I573" s="34" t="n">
        <x:v>0</x:v>
      </x:c>
      <x:c r="J573" t="str">
        <x:v>unchanged</x:v>
      </x:c>
      <x:c r="K573" t="str">
        <x:v>complete</x:v>
      </x:c>
      <x:c r="L573" t="n">
        <x:v>1</x:v>
      </x:c>
      <x:c r="M573" t="str">
        <x:v>complete</x:v>
      </x:c>
      <x:c r="N573" t="n">
        <x:v>1</x:v>
      </x:c>
    </x:row>
    <x:row r="574">
      <x:c r="A574" t="str">
        <x:v>a2_coverage_new_minus_old_on_old_a1</x:v>
      </x:c>
      <x:c r="B574" t="str">
        <x:v>fact_coverage_ordinal</x:v>
      </x:c>
      <x:c r="C574" t="str">
        <x:f>"qid:-5564120845047915486"</x:f>
        <x:v>qid:-5564120845047915486</x:v>
      </x:c>
      <x:c r="D574" s="14" t="str">
        <x:v>Where do you find a simple gear train?</x:v>
      </x:c>
      <x:c r="E574" t="str">
        <x:v>old_old</x:v>
      </x:c>
      <x:c r="F574" t="str">
        <x:v>old_new</x:v>
      </x:c>
      <x:c r="G574" s="34" t="n">
        <x:v>0.5</x:v>
      </x:c>
      <x:c r="H574" s="34" t="n">
        <x:v>0.5</x:v>
      </x:c>
      <x:c r="I574" s="34" t="n">
        <x:v>0</x:v>
      </x:c>
      <x:c r="J574" t="str">
        <x:v>unchanged</x:v>
      </x:c>
      <x:c r="K574" t="str">
        <x:v>partial</x:v>
      </x:c>
      <x:c r="L574" t="n">
        <x:v>1</x:v>
      </x:c>
      <x:c r="M574" t="str">
        <x:v>partial</x:v>
      </x:c>
      <x:c r="N574" t="n">
        <x:v>1</x:v>
      </x:c>
    </x:row>
    <x:row r="575">
      <x:c r="A575" t="str">
        <x:v>a2_coverage_new_minus_old_on_old_a1</x:v>
      </x:c>
      <x:c r="B575" t="str">
        <x:v>fact_coverage_ordinal</x:v>
      </x:c>
      <x:c r="C575" t="str">
        <x:f>"qid:-5842265707961388968"</x:f>
        <x:v>qid:-5842265707961388968</x:v>
      </x:c>
      <x:c r="D575" s="14" t="str">
        <x:v>Who beat villanova last year in the ncaa tournament?</x:v>
      </x:c>
      <x:c r="E575" t="str">
        <x:v>old_old</x:v>
      </x:c>
      <x:c r="F575" t="str">
        <x:v>old_new</x:v>
      </x:c>
      <x:c r="G575" s="34" t="n">
        <x:v>0</x:v>
      </x:c>
      <x:c r="H575" s="34" t="n">
        <x:v>0</x:v>
      </x:c>
      <x:c r="I575" s="34" t="n">
        <x:v>0</x:v>
      </x:c>
      <x:c r="J575" t="str">
        <x:v>unchanged</x:v>
      </x:c>
      <x:c r="K575" t="str">
        <x:v>none</x:v>
      </x:c>
      <x:c r="L575" t="n">
        <x:v>1</x:v>
      </x:c>
      <x:c r="M575" t="str">
        <x:v>none</x:v>
      </x:c>
      <x:c r="N575" t="n">
        <x:v>1</x:v>
      </x:c>
    </x:row>
    <x:row r="576">
      <x:c r="A576" t="str">
        <x:v>a2_coverage_new_minus_old_on_old_a1</x:v>
      </x:c>
      <x:c r="B576" t="str">
        <x:v>fact_coverage_ordinal</x:v>
      </x:c>
      <x:c r="C576" t="str">
        <x:f>"qid:-5942352520455511076"</x:f>
        <x:v>qid:-5942352520455511076</x:v>
      </x:c>
      <x:c r="D576" s="14" t="str">
        <x:v>Where can adipose tissue be found in the body?</x:v>
      </x:c>
      <x:c r="E576" t="str">
        <x:v>old_old</x:v>
      </x:c>
      <x:c r="F576" t="str">
        <x:v>old_new</x:v>
      </x:c>
      <x:c r="G576" s="34" t="n">
        <x:v>0</x:v>
      </x:c>
      <x:c r="H576" s="34" t="n">
        <x:v>0</x:v>
      </x:c>
      <x:c r="I576" s="34" t="n">
        <x:v>0</x:v>
      </x:c>
      <x:c r="J576" t="str">
        <x:v>unchanged</x:v>
      </x:c>
      <x:c r="K576" t="str">
        <x:v>none</x:v>
      </x:c>
      <x:c r="L576" t="n">
        <x:v>1</x:v>
      </x:c>
      <x:c r="M576" t="str">
        <x:v>none</x:v>
      </x:c>
      <x:c r="N576" t="n">
        <x:v>1</x:v>
      </x:c>
    </x:row>
    <x:row r="577">
      <x:c r="A577" t="str">
        <x:v>a2_coverage_new_minus_old_on_old_a1</x:v>
      </x:c>
      <x:c r="B577" t="str">
        <x:v>fact_coverage_ordinal</x:v>
      </x:c>
      <x:c r="C577" t="str">
        <x:f>"qid:-62521546794442829"</x:f>
        <x:v>qid:-62521546794442829</x:v>
      </x:c>
      <x:c r="D577" s="14" t="str">
        <x:v>For whom was the battle of king's mountain a victory?</x:v>
      </x:c>
      <x:c r="E577" t="str">
        <x:v>old_old</x:v>
      </x:c>
      <x:c r="F577" t="str">
        <x:v>old_new</x:v>
      </x:c>
      <x:c r="G577" s="34" t="n">
        <x:v>1</x:v>
      </x:c>
      <x:c r="H577" s="34" t="n">
        <x:v>1</x:v>
      </x:c>
      <x:c r="I577" s="34" t="n">
        <x:v>0</x:v>
      </x:c>
      <x:c r="J577" t="str">
        <x:v>unchanged</x:v>
      </x:c>
      <x:c r="K577" t="str">
        <x:v>complete</x:v>
      </x:c>
      <x:c r="L577" t="n">
        <x:v>1</x:v>
      </x:c>
      <x:c r="M577" t="str">
        <x:v>complete</x:v>
      </x:c>
      <x:c r="N577" t="n">
        <x:v>1</x:v>
      </x:c>
    </x:row>
    <x:row r="578">
      <x:c r="A578" t="str">
        <x:v>a2_coverage_new_minus_old_on_old_a1</x:v>
      </x:c>
      <x:c r="B578" t="str">
        <x:v>fact_coverage_ordinal</x:v>
      </x:c>
      <x:c r="C578" t="str">
        <x:f>"qid:-6702031255040326279"</x:f>
        <x:v>qid:-6702031255040326279</x:v>
      </x:c>
      <x:c r="D578" s="14" t="str">
        <x:v>Which of the animal is a carrier of h1n1?</x:v>
      </x:c>
      <x:c r="E578" t="str">
        <x:v>old_old</x:v>
      </x:c>
      <x:c r="F578" t="str">
        <x:v>old_new</x:v>
      </x:c>
      <x:c r="G578" s="34" t="n">
        <x:v>1</x:v>
      </x:c>
      <x:c r="H578" s="34" t="n">
        <x:v>1</x:v>
      </x:c>
      <x:c r="I578" s="34" t="n">
        <x:v>0</x:v>
      </x:c>
      <x:c r="J578" t="str">
        <x:v>unchanged</x:v>
      </x:c>
      <x:c r="K578" t="str">
        <x:v>complete</x:v>
      </x:c>
      <x:c r="L578" t="n">
        <x:v>1</x:v>
      </x:c>
      <x:c r="M578" t="str">
        <x:v>complete</x:v>
      </x:c>
      <x:c r="N578" t="n">
        <x:v>1</x:v>
      </x:c>
    </x:row>
    <x:row r="579">
      <x:c r="A579" t="str">
        <x:v>a2_coverage_new_minus_old_on_old_a1</x:v>
      </x:c>
      <x:c r="B579" t="str">
        <x:v>fact_coverage_ordinal</x:v>
      </x:c>
      <x:c r="C579" t="str">
        <x:f>"qid:-728189424752983312"</x:f>
        <x:v>qid:-728189424752983312</x:v>
      </x:c>
      <x:c r="D579" s="14" t="str">
        <x:v>Where did the term bye felicia come from?</x:v>
      </x:c>
      <x:c r="E579" t="str">
        <x:v>old_old</x:v>
      </x:c>
      <x:c r="F579" t="str">
        <x:v>old_new</x:v>
      </x:c>
      <x:c r="G579" s="34" t="n">
        <x:v>0.5</x:v>
      </x:c>
      <x:c r="H579" s="34" t="n">
        <x:v>0.5</x:v>
      </x:c>
      <x:c r="I579" s="34" t="n">
        <x:v>0</x:v>
      </x:c>
      <x:c r="J579" t="str">
        <x:v>unchanged</x:v>
      </x:c>
      <x:c r="K579" t="str">
        <x:v>partial</x:v>
      </x:c>
      <x:c r="L579" t="n">
        <x:v>1</x:v>
      </x:c>
      <x:c r="M579" t="str">
        <x:v>partial</x:v>
      </x:c>
      <x:c r="N579" t="n">
        <x:v>1</x:v>
      </x:c>
    </x:row>
    <x:row r="580">
      <x:c r="A580" t="str">
        <x:v>a2_coverage_new_minus_old_on_old_a1</x:v>
      </x:c>
      <x:c r="B580" t="str">
        <x:v>fact_coverage_ordinal</x:v>
      </x:c>
      <x:c r="C580" t="str">
        <x:f>"qid:-7824075627194227170"</x:f>
        <x:v>qid:-7824075627194227170</x:v>
      </x:c>
      <x:c r="D580" s="14" t="str">
        <x:v>When was the commission fir sc/st established?</x:v>
      </x:c>
      <x:c r="E580" t="str">
        <x:v>old_old</x:v>
      </x:c>
      <x:c r="F580" t="str">
        <x:v>old_new</x:v>
      </x:c>
      <x:c r="G580" s="34" t="n">
        <x:v>1</x:v>
      </x:c>
      <x:c r="H580" s="34" t="n">
        <x:v>1</x:v>
      </x:c>
      <x:c r="I580" s="34" t="n">
        <x:v>0</x:v>
      </x:c>
      <x:c r="J580" t="str">
        <x:v>unchanged</x:v>
      </x:c>
      <x:c r="K580" t="str">
        <x:v>complete</x:v>
      </x:c>
      <x:c r="L580" t="n">
        <x:v>1</x:v>
      </x:c>
      <x:c r="M580" t="str">
        <x:v>complete</x:v>
      </x:c>
      <x:c r="N580" t="n">
        <x:v>1</x:v>
      </x:c>
    </x:row>
    <x:row r="581">
      <x:c r="A581" t="str">
        <x:v>a2_coverage_new_minus_old_on_old_a1</x:v>
      </x:c>
      <x:c r="B581" t="str">
        <x:v>fact_coverage_ordinal</x:v>
      </x:c>
      <x:c r="C581" t="str">
        <x:f>"qid:-8286966211355378010"</x:f>
        <x:v>qid:-8286966211355378010</x:v>
      </x:c>
      <x:c r="D581" s="14" t="str">
        <x:v>What is the objective of tour de france?</x:v>
      </x:c>
      <x:c r="E581" t="str">
        <x:v>old_old</x:v>
      </x:c>
      <x:c r="F581" t="str">
        <x:v>old_new</x:v>
      </x:c>
      <x:c r="G581" s="34" t="n">
        <x:v>1</x:v>
      </x:c>
      <x:c r="H581" s="34" t="n">
        <x:v>1</x:v>
      </x:c>
      <x:c r="I581" s="34" t="n">
        <x:v>0</x:v>
      </x:c>
      <x:c r="J581" t="str">
        <x:v>unchanged</x:v>
      </x:c>
      <x:c r="K581" t="str">
        <x:v>complete</x:v>
      </x:c>
      <x:c r="L581" t="n">
        <x:v>1</x:v>
      </x:c>
      <x:c r="M581" t="str">
        <x:v>complete</x:v>
      </x:c>
      <x:c r="N581" t="n">
        <x:v>1</x:v>
      </x:c>
    </x:row>
    <x:row r="582">
      <x:c r="A582" t="str">
        <x:v>a2_coverage_new_minus_old_on_old_a1</x:v>
      </x:c>
      <x:c r="B582" t="str">
        <x:v>fact_coverage_ordinal</x:v>
      </x:c>
      <x:c r="C582" t="str">
        <x:f>"qid:-9141149438582194391"</x:f>
        <x:v>qid:-9141149438582194391</x:v>
      </x:c>
      <x:c r="D582" s="14" t="str">
        <x:v>Who has scored the highest number of runs in test cricket?</x:v>
      </x:c>
      <x:c r="E582" t="str">
        <x:v>old_old</x:v>
      </x:c>
      <x:c r="F582" t="str">
        <x:v>old_new</x:v>
      </x:c>
      <x:c r="G582" s="34" t="n">
        <x:v>1</x:v>
      </x:c>
      <x:c r="H582" s="34" t="n">
        <x:v>1</x:v>
      </x:c>
      <x:c r="I582" s="34" t="n">
        <x:v>0</x:v>
      </x:c>
      <x:c r="J582" t="str">
        <x:v>unchanged</x:v>
      </x:c>
      <x:c r="K582" t="str">
        <x:v>complete</x:v>
      </x:c>
      <x:c r="L582" t="n">
        <x:v>1</x:v>
      </x:c>
      <x:c r="M582" t="str">
        <x:v>complete</x:v>
      </x:c>
      <x:c r="N582" t="n">
        <x:v>1</x:v>
      </x:c>
    </x:row>
    <x:row r="583">
      <x:c r="A583" t="str">
        <x:v>a2_coverage_new_minus_old_on_old_a1</x:v>
      </x:c>
      <x:c r="B583" t="str">
        <x:v>fact_coverage_ordinal</x:v>
      </x:c>
      <x:c r="C583" t="str">
        <x:f>"qid:-99543908387769967"</x:f>
        <x:v>qid:-99543908387769967</x:v>
      </x:c>
      <x:c r="D583" s="14" t="str">
        <x:v>Who does sansa marry on game of thrones?</x:v>
      </x:c>
      <x:c r="E583" t="str">
        <x:v>old_old</x:v>
      </x:c>
      <x:c r="F583" t="str">
        <x:v>old_new</x:v>
      </x:c>
      <x:c r="G583" s="34" t="n">
        <x:v>0.5</x:v>
      </x:c>
      <x:c r="H583" s="34" t="n">
        <x:v>1</x:v>
      </x:c>
      <x:c r="I583" s="34" t="n">
        <x:v>0.5</x:v>
      </x:c>
      <x:c r="J583" t="str">
        <x:v>improved</x:v>
      </x:c>
      <x:c r="K583" t="str">
        <x:v>partial</x:v>
      </x:c>
      <x:c r="L583" t="n">
        <x:v>1</x:v>
      </x:c>
      <x:c r="M583" t="str">
        <x:v>complete</x:v>
      </x:c>
      <x:c r="N583" t="n">
        <x:v>1</x:v>
      </x:c>
    </x:row>
    <x:row r="584">
      <x:c r="A584" t="str">
        <x:v>a2_coverage_new_minus_old_on_old_a1</x:v>
      </x:c>
      <x:c r="B584" t="str">
        <x:v>fact_coverage_ordinal</x:v>
      </x:c>
      <x:c r="C584" t="str">
        <x:f>"qid:16881061444712536"</x:f>
        <x:v>qid:16881061444712536</x:v>
      </x:c>
      <x:c r="D584" s="14" t="str">
        <x:v>Where does the amazon river start and finish?</x:v>
      </x:c>
      <x:c r="E584" t="str">
        <x:v>old_old</x:v>
      </x:c>
      <x:c r="F584" t="str">
        <x:v>old_new</x:v>
      </x:c>
      <x:c r="G584" s="34" t="n">
        <x:v>1</x:v>
      </x:c>
      <x:c r="H584" s="34" t="n">
        <x:v>1</x:v>
      </x:c>
      <x:c r="I584" s="34" t="n">
        <x:v>0</x:v>
      </x:c>
      <x:c r="J584" t="str">
        <x:v>unchanged</x:v>
      </x:c>
      <x:c r="K584" t="str">
        <x:v>complete</x:v>
      </x:c>
      <x:c r="L584" t="n">
        <x:v>1</x:v>
      </x:c>
      <x:c r="M584" t="str">
        <x:v>complete</x:v>
      </x:c>
      <x:c r="N584" t="n">
        <x:v>1</x:v>
      </x:c>
    </x:row>
    <x:row r="585">
      <x:c r="A585" t="str">
        <x:v>a2_coverage_new_minus_old_on_old_a1</x:v>
      </x:c>
      <x:c r="B585" t="str">
        <x:v>fact_coverage_ordinal</x:v>
      </x:c>
      <x:c r="C585" t="str">
        <x:f>"qid:1763163294931046731"</x:f>
        <x:v>qid:1763163294931046731</x:v>
      </x:c>
      <x:c r="D585" s="14" t="str">
        <x:v>Who played violet rutherford on leave it to beaver?</x:v>
      </x:c>
      <x:c r="E585" t="str">
        <x:v>old_old</x:v>
      </x:c>
      <x:c r="F585" t="str">
        <x:v>old_new</x:v>
      </x:c>
      <x:c r="G585" s="34" t="n">
        <x:v>1</x:v>
      </x:c>
      <x:c r="H585" s="34" t="n">
        <x:v>1</x:v>
      </x:c>
      <x:c r="I585" s="34" t="n">
        <x:v>0</x:v>
      </x:c>
      <x:c r="J585" t="str">
        <x:v>unchanged</x:v>
      </x:c>
      <x:c r="K585" t="str">
        <x:v>complete</x:v>
      </x:c>
      <x:c r="L585" t="n">
        <x:v>1</x:v>
      </x:c>
      <x:c r="M585" t="str">
        <x:v>complete</x:v>
      </x:c>
      <x:c r="N585" t="n">
        <x:v>1</x:v>
      </x:c>
    </x:row>
    <x:row r="586">
      <x:c r="A586" t="str">
        <x:v>a2_coverage_new_minus_old_on_old_a1</x:v>
      </x:c>
      <x:c r="B586" t="str">
        <x:v>fact_coverage_ordinal</x:v>
      </x:c>
      <x:c r="C586" t="str">
        <x:f>"qid:2221044921312683785"</x:f>
        <x:v>qid:2221044921312683785</x:v>
      </x:c>
      <x:c r="D586" s="14" t="str">
        <x:v>When did the apple tv 4k come out?</x:v>
      </x:c>
      <x:c r="E586" t="str">
        <x:v>old_old</x:v>
      </x:c>
      <x:c r="F586" t="str">
        <x:v>old_new</x:v>
      </x:c>
      <x:c r="G586" s="34" t="n">
        <x:v>1</x:v>
      </x:c>
      <x:c r="H586" s="34" t="n">
        <x:v>1</x:v>
      </x:c>
      <x:c r="I586" s="34" t="n">
        <x:v>0</x:v>
      </x:c>
      <x:c r="J586" t="str">
        <x:v>unchanged</x:v>
      </x:c>
      <x:c r="K586" t="str">
        <x:v>complete</x:v>
      </x:c>
      <x:c r="L586" t="n">
        <x:v>1</x:v>
      </x:c>
      <x:c r="M586" t="str">
        <x:v>complete</x:v>
      </x:c>
      <x:c r="N586" t="n">
        <x:v>1</x:v>
      </x:c>
    </x:row>
    <x:row r="587">
      <x:c r="A587" t="str">
        <x:v>a2_coverage_new_minus_old_on_old_a1</x:v>
      </x:c>
      <x:c r="B587" t="str">
        <x:v>fact_coverage_ordinal</x:v>
      </x:c>
      <x:c r="C587" t="str">
        <x:f>"qid:2469112227919120438"</x:f>
        <x:v>qid:2469112227919120438</x:v>
      </x:c>
      <x:c r="D587" s="14" t="str">
        <x:v>The creation of the senate was based on the?</x:v>
      </x:c>
      <x:c r="E587" t="str">
        <x:v>old_old</x:v>
      </x:c>
      <x:c r="F587" t="str">
        <x:v>old_new</x:v>
      </x:c>
      <x:c r="G587" s="34" t="n">
        <x:v>1</x:v>
      </x:c>
      <x:c r="H587" s="34" t="n">
        <x:v>1</x:v>
      </x:c>
      <x:c r="I587" s="34" t="n">
        <x:v>0</x:v>
      </x:c>
      <x:c r="J587" t="str">
        <x:v>unchanged</x:v>
      </x:c>
      <x:c r="K587" t="str">
        <x:v>complete</x:v>
      </x:c>
      <x:c r="L587" t="n">
        <x:v>1</x:v>
      </x:c>
      <x:c r="M587" t="str">
        <x:v>complete</x:v>
      </x:c>
      <x:c r="N587" t="n">
        <x:v>1</x:v>
      </x:c>
    </x:row>
    <x:row r="588">
      <x:c r="A588" t="str">
        <x:v>a2_coverage_new_minus_old_on_old_a1</x:v>
      </x:c>
      <x:c r="B588" t="str">
        <x:v>fact_coverage_ordinal</x:v>
      </x:c>
      <x:c r="C588" t="str">
        <x:f>"qid:3605104154738105404"</x:f>
        <x:v>qid:3605104154738105404</x:v>
      </x:c>
      <x:c r="D588" s="14" t="str">
        <x:v>What episode does jason gideon die in criminal minds?</x:v>
      </x:c>
      <x:c r="E588" t="str">
        <x:v>old_old</x:v>
      </x:c>
      <x:c r="F588" t="str">
        <x:v>old_new</x:v>
      </x:c>
      <x:c r="G588" s="34" t="n">
        <x:v>1</x:v>
      </x:c>
      <x:c r="H588" s="34" t="n">
        <x:v>1</x:v>
      </x:c>
      <x:c r="I588" s="34" t="n">
        <x:v>0</x:v>
      </x:c>
      <x:c r="J588" t="str">
        <x:v>unchanged</x:v>
      </x:c>
      <x:c r="K588" t="str">
        <x:v>complete</x:v>
      </x:c>
      <x:c r="L588" t="n">
        <x:v>1</x:v>
      </x:c>
      <x:c r="M588" t="str">
        <x:v>complete</x:v>
      </x:c>
      <x:c r="N588" t="n">
        <x:v>1</x:v>
      </x:c>
    </x:row>
    <x:row r="589">
      <x:c r="A589" t="str">
        <x:v>a2_coverage_new_minus_old_on_old_a1</x:v>
      </x:c>
      <x:c r="B589" t="str">
        <x:v>fact_coverage_ordinal</x:v>
      </x:c>
      <x:c r="C589" t="str">
        <x:f>"qid:4150448921344430432"</x:f>
        <x:v>qid:4150448921344430432</x:v>
      </x:c>
      <x:c r="D589" s="14" t="str">
        <x:v>Who were the original twins in everybody loves raymond?</x:v>
      </x:c>
      <x:c r="E589" t="str">
        <x:v>old_old</x:v>
      </x:c>
      <x:c r="F589" t="str">
        <x:v>old_new</x:v>
      </x:c>
      <x:c r="G589" s="34" t="n">
        <x:v>1</x:v>
      </x:c>
      <x:c r="H589" s="34" t="n">
        <x:v>1</x:v>
      </x:c>
      <x:c r="I589" s="34" t="n">
        <x:v>0</x:v>
      </x:c>
      <x:c r="J589" t="str">
        <x:v>unchanged</x:v>
      </x:c>
      <x:c r="K589" t="str">
        <x:v>complete</x:v>
      </x:c>
      <x:c r="L589" t="n">
        <x:v>1</x:v>
      </x:c>
      <x:c r="M589" t="str">
        <x:v>complete</x:v>
      </x:c>
      <x:c r="N589" t="n">
        <x:v>1</x:v>
      </x:c>
    </x:row>
    <x:row r="590">
      <x:c r="A590" t="str">
        <x:v>a2_coverage_new_minus_old_on_old_a1</x:v>
      </x:c>
      <x:c r="B590" t="str">
        <x:v>fact_coverage_ordinal</x:v>
      </x:c>
      <x:c r="C590" t="str">
        <x:f>"qid:4183252176965080529"</x:f>
        <x:v>qid:4183252176965080529</x:v>
      </x:c>
      <x:c r="D590" s="14" t="str">
        <x:v>When does the new independence day come out?</x:v>
      </x:c>
      <x:c r="E590" t="str">
        <x:v>old_old</x:v>
      </x:c>
      <x:c r="F590" t="str">
        <x:v>old_new</x:v>
      </x:c>
      <x:c r="G590" s="34" t="n">
        <x:v>1</x:v>
      </x:c>
      <x:c r="H590" s="34" t="n">
        <x:v>1</x:v>
      </x:c>
      <x:c r="I590" s="34" t="n">
        <x:v>0</x:v>
      </x:c>
      <x:c r="J590" t="str">
        <x:v>unchanged</x:v>
      </x:c>
      <x:c r="K590" t="str">
        <x:v>complete</x:v>
      </x:c>
      <x:c r="L590" t="n">
        <x:v>1</x:v>
      </x:c>
      <x:c r="M590" t="str">
        <x:v>complete</x:v>
      </x:c>
      <x:c r="N590" t="n">
        <x:v>1</x:v>
      </x:c>
    </x:row>
    <x:row r="591">
      <x:c r="A591" t="str">
        <x:v>a2_coverage_new_minus_old_on_old_a1</x:v>
      </x:c>
      <x:c r="B591" t="str">
        <x:v>fact_coverage_ordinal</x:v>
      </x:c>
      <x:c r="C591" t="str">
        <x:f>"qid:4474597907223412132"</x:f>
        <x:v>qid:4474597907223412132</x:v>
      </x:c>
      <x:c r="D591" s="14" t="str">
        <x:v>Who were the two astronauts who stayed a year on the iss?</x:v>
      </x:c>
      <x:c r="E591" t="str">
        <x:v>old_old</x:v>
      </x:c>
      <x:c r="F591" t="str">
        <x:v>old_new</x:v>
      </x:c>
      <x:c r="G591" s="34" t="n">
        <x:v>0.5</x:v>
      </x:c>
      <x:c r="H591" s="34" t="n">
        <x:v>1</x:v>
      </x:c>
      <x:c r="I591" s="34" t="n">
        <x:v>0.5</x:v>
      </x:c>
      <x:c r="J591" t="str">
        <x:v>improved</x:v>
      </x:c>
      <x:c r="K591" t="str">
        <x:v>partial</x:v>
      </x:c>
      <x:c r="L591" t="n">
        <x:v>1</x:v>
      </x:c>
      <x:c r="M591" t="str">
        <x:v>complete</x:v>
      </x:c>
      <x:c r="N591" t="n">
        <x:v>1</x:v>
      </x:c>
    </x:row>
    <x:row r="592">
      <x:c r="A592" t="str">
        <x:v>a2_coverage_new_minus_old_on_old_a1</x:v>
      </x:c>
      <x:c r="B592" t="str">
        <x:v>fact_coverage_ordinal</x:v>
      </x:c>
      <x:c r="C592" t="str">
        <x:f>"qid:586233275728240023"</x:f>
        <x:v>qid:586233275728240023</x:v>
      </x:c>
      <x:c r="D592" s="14" t="str">
        <x:v>What is the os of samsung smart tv?</x:v>
      </x:c>
      <x:c r="E592" t="str">
        <x:v>old_old</x:v>
      </x:c>
      <x:c r="F592" t="str">
        <x:v>old_new</x:v>
      </x:c>
      <x:c r="G592" s="34" t="n">
        <x:v>1</x:v>
      </x:c>
      <x:c r="H592" s="34" t="n">
        <x:v>1</x:v>
      </x:c>
      <x:c r="I592" s="34" t="n">
        <x:v>0</x:v>
      </x:c>
      <x:c r="J592" t="str">
        <x:v>unchanged</x:v>
      </x:c>
      <x:c r="K592" t="str">
        <x:v>complete</x:v>
      </x:c>
      <x:c r="L592" t="n">
        <x:v>1</x:v>
      </x:c>
      <x:c r="M592" t="str">
        <x:v>complete</x:v>
      </x:c>
      <x:c r="N592" t="n">
        <x:v>1</x:v>
      </x:c>
    </x:row>
    <x:row r="593">
      <x:c r="A593" t="str">
        <x:v>a2_coverage_new_minus_old_on_old_a1</x:v>
      </x:c>
      <x:c r="B593" t="str">
        <x:v>fact_coverage_ordinal</x:v>
      </x:c>
      <x:c r="C593" t="str">
        <x:f>"qid:6257465985316109835"</x:f>
        <x:v>qid:6257465985316109835</x:v>
      </x:c>
      <x:c r="D593" s="14" t="str">
        <x:v>Who is the main character in liv and maddie?</x:v>
      </x:c>
      <x:c r="E593" t="str">
        <x:v>old_old</x:v>
      </x:c>
      <x:c r="F593" t="str">
        <x:v>old_new</x:v>
      </x:c>
      <x:c r="G593" s="34" t="n">
        <x:v>1</x:v>
      </x:c>
      <x:c r="H593" s="34" t="n">
        <x:v>1</x:v>
      </x:c>
      <x:c r="I593" s="34" t="n">
        <x:v>0</x:v>
      </x:c>
      <x:c r="J593" t="str">
        <x:v>unchanged</x:v>
      </x:c>
      <x:c r="K593" t="str">
        <x:v>complete</x:v>
      </x:c>
      <x:c r="L593" t="n">
        <x:v>1</x:v>
      </x:c>
      <x:c r="M593" t="str">
        <x:v>complete</x:v>
      </x:c>
      <x:c r="N593" t="n">
        <x:v>1</x:v>
      </x:c>
    </x:row>
    <x:row r="594">
      <x:c r="A594" t="str">
        <x:v>a2_coverage_new_minus_old_on_old_a1</x:v>
      </x:c>
      <x:c r="B594" t="str">
        <x:v>fact_coverage_ordinal</x:v>
      </x:c>
      <x:c r="C594" t="str">
        <x:f>"qid:6514531923811923780"</x:f>
        <x:v>qid:6514531923811923780</x:v>
      </x:c>
      <x:c r="D594" s="14" t="str">
        <x:v>When does disney's food and wine festival end?</x:v>
      </x:c>
      <x:c r="E594" t="str">
        <x:v>old_old</x:v>
      </x:c>
      <x:c r="F594" t="str">
        <x:v>old_new</x:v>
      </x:c>
      <x:c r="G594" s="34" t="n">
        <x:v>0.5</x:v>
      </x:c>
      <x:c r="H594" s="34" t="n">
        <x:v>1</x:v>
      </x:c>
      <x:c r="I594" s="34" t="n">
        <x:v>0.5</x:v>
      </x:c>
      <x:c r="J594" t="str">
        <x:v>improved</x:v>
      </x:c>
      <x:c r="K594" t="str">
        <x:v>partial</x:v>
      </x:c>
      <x:c r="L594" t="n">
        <x:v>1</x:v>
      </x:c>
      <x:c r="M594" t="str">
        <x:v>complete</x:v>
      </x:c>
      <x:c r="N594" t="n">
        <x:v>1</x:v>
      </x:c>
    </x:row>
    <x:row r="595">
      <x:c r="A595" t="str">
        <x:v>a2_coverage_new_minus_old_on_old_a1</x:v>
      </x:c>
      <x:c r="B595" t="str">
        <x:v>fact_coverage_ordinal</x:v>
      </x:c>
      <x:c r="C595" t="str">
        <x:f>"qid:6776234528515962047"</x:f>
        <x:v>qid:6776234528515962047</x:v>
      </x:c>
      <x:c r="D595" s="14" t="str">
        <x:v>Who is the most run in cricket history?</x:v>
      </x:c>
      <x:c r="E595" t="str">
        <x:v>old_old</x:v>
      </x:c>
      <x:c r="F595" t="str">
        <x:v>old_new</x:v>
      </x:c>
      <x:c r="G595" s="34" t="n">
        <x:v>0.5</x:v>
      </x:c>
      <x:c r="H595" s="34" t="n">
        <x:v>0.5</x:v>
      </x:c>
      <x:c r="I595" s="34" t="n">
        <x:v>0</x:v>
      </x:c>
      <x:c r="J595" t="str">
        <x:v>unchanged</x:v>
      </x:c>
      <x:c r="K595" t="str">
        <x:v>partial</x:v>
      </x:c>
      <x:c r="L595" t="n">
        <x:v>1</x:v>
      </x:c>
      <x:c r="M595" t="str">
        <x:v>partial</x:v>
      </x:c>
      <x:c r="N595" t="n">
        <x:v>1</x:v>
      </x:c>
    </x:row>
    <x:row r="596">
      <x:c r="A596" t="str">
        <x:v>a2_coverage_new_minus_old_on_old_a1</x:v>
      </x:c>
      <x:c r="B596" t="str">
        <x:v>fact_coverage_ordinal</x:v>
      </x:c>
      <x:c r="C596" t="str">
        <x:f>"qid:6962706727076805207"</x:f>
        <x:v>qid:6962706727076805207</x:v>
      </x:c>
      <x:c r="D596" s="14" t="str">
        <x:v>What kind of car in to catch a thief?</x:v>
      </x:c>
      <x:c r="E596" t="str">
        <x:v>old_old</x:v>
      </x:c>
      <x:c r="F596" t="str">
        <x:v>old_new</x:v>
      </x:c>
      <x:c r="G596" s="34" t="n">
        <x:v>1</x:v>
      </x:c>
      <x:c r="H596" s="34" t="n">
        <x:v>1</x:v>
      </x:c>
      <x:c r="I596" s="34" t="n">
        <x:v>0</x:v>
      </x:c>
      <x:c r="J596" t="str">
        <x:v>unchanged</x:v>
      </x:c>
      <x:c r="K596" t="str">
        <x:v>complete</x:v>
      </x:c>
      <x:c r="L596" t="n">
        <x:v>1</x:v>
      </x:c>
      <x:c r="M596" t="str">
        <x:v>complete</x:v>
      </x:c>
      <x:c r="N596" t="n">
        <x:v>1</x:v>
      </x:c>
    </x:row>
    <x:row r="597">
      <x:c r="A597" t="str">
        <x:v>a2_coverage_new_minus_old_on_old_a1</x:v>
      </x:c>
      <x:c r="B597" t="str">
        <x:v>fact_coverage_ordinal</x:v>
      </x:c>
      <x:c r="C597" t="str">
        <x:f>"qid:7150599999316106461"</x:f>
        <x:v>qid:7150599999316106461</x:v>
      </x:c>
      <x:c r="D597" s="14" t="str">
        <x:v>Who was the first singing brothers in the hall of fame?</x:v>
      </x:c>
      <x:c r="E597" t="str">
        <x:v>old_old</x:v>
      </x:c>
      <x:c r="F597" t="str">
        <x:v>old_new</x:v>
      </x:c>
      <x:c r="G597" s="34" t="n">
        <x:v>1</x:v>
      </x:c>
      <x:c r="H597" s="34" t="n">
        <x:v>1</x:v>
      </x:c>
      <x:c r="I597" s="34" t="n">
        <x:v>0</x:v>
      </x:c>
      <x:c r="J597" t="str">
        <x:v>unchanged</x:v>
      </x:c>
      <x:c r="K597" t="str">
        <x:v>complete</x:v>
      </x:c>
      <x:c r="L597" t="n">
        <x:v>1</x:v>
      </x:c>
      <x:c r="M597" t="str">
        <x:v>complete</x:v>
      </x:c>
      <x:c r="N597" t="n">
        <x:v>1</x:v>
      </x:c>
    </x:row>
    <x:row r="598">
      <x:c r="A598" t="str">
        <x:v>a2_coverage_new_minus_old_on_old_a1</x:v>
      </x:c>
      <x:c r="B598" t="str">
        <x:v>fact_coverage_ordinal</x:v>
      </x:c>
      <x:c r="C598" t="str">
        <x:f>"qid:732619765350082410"</x:f>
        <x:v>qid:732619765350082410</x:v>
      </x:c>
      <x:c r="D598" s="14" t="str">
        <x:v>When did toronto host the mlb all-star game?</x:v>
      </x:c>
      <x:c r="E598" t="str">
        <x:v>old_old</x:v>
      </x:c>
      <x:c r="F598" t="str">
        <x:v>old_new</x:v>
      </x:c>
      <x:c r="G598" s="34" t="n">
        <x:v>1</x:v>
      </x:c>
      <x:c r="H598" s="34" t="n">
        <x:v>1</x:v>
      </x:c>
      <x:c r="I598" s="34" t="n">
        <x:v>0</x:v>
      </x:c>
      <x:c r="J598" t="str">
        <x:v>unchanged</x:v>
      </x:c>
      <x:c r="K598" t="str">
        <x:v>complete</x:v>
      </x:c>
      <x:c r="L598" t="n">
        <x:v>1</x:v>
      </x:c>
      <x:c r="M598" t="str">
        <x:v>complete</x:v>
      </x:c>
      <x:c r="N598" t="n">
        <x:v>1</x:v>
      </x:c>
    </x:row>
    <x:row r="599">
      <x:c r="A599" t="str">
        <x:v>a2_coverage_new_minus_old_on_old_a1</x:v>
      </x:c>
      <x:c r="B599" t="str">
        <x:v>fact_coverage_ordinal</x:v>
      </x:c>
      <x:c r="C599" t="str">
        <x:f>"qid:743600309736467122"</x:f>
        <x:v>qid:743600309736467122</x:v>
      </x:c>
      <x:c r="D599" s="14" t="str">
        <x:v>When was on the revolutions of the heavenly spheres published?</x:v>
      </x:c>
      <x:c r="E599" t="str">
        <x:v>old_old</x:v>
      </x:c>
      <x:c r="F599" t="str">
        <x:v>old_new</x:v>
      </x:c>
      <x:c r="G599" s="34" t="n">
        <x:v>1</x:v>
      </x:c>
      <x:c r="H599" s="34" t="n">
        <x:v>1</x:v>
      </x:c>
      <x:c r="I599" s="34" t="n">
        <x:v>0</x:v>
      </x:c>
      <x:c r="J599" t="str">
        <x:v>unchanged</x:v>
      </x:c>
      <x:c r="K599" t="str">
        <x:v>complete</x:v>
      </x:c>
      <x:c r="L599" t="n">
        <x:v>1</x:v>
      </x:c>
      <x:c r="M599" t="str">
        <x:v>complete</x:v>
      </x:c>
      <x:c r="N599" t="n">
        <x:v>1</x:v>
      </x:c>
    </x:row>
    <x:row r="600">
      <x:c r="A600" t="str">
        <x:v>a2_coverage_new_minus_old_on_old_a1</x:v>
      </x:c>
      <x:c r="B600" t="str">
        <x:v>fact_coverage_ordinal</x:v>
      </x:c>
      <x:c r="C600" t="str">
        <x:f>"qid:7494804303418493420"</x:f>
        <x:v>qid:7494804303418493420</x:v>
      </x:c>
      <x:c r="D600" s="14" t="str">
        <x:v>Movie with the song sunshine on my shoulders?</x:v>
      </x:c>
      <x:c r="E600" t="str">
        <x:v>old_old</x:v>
      </x:c>
      <x:c r="F600" t="str">
        <x:v>old_new</x:v>
      </x:c>
      <x:c r="G600" s="34" t="n">
        <x:v>0</x:v>
      </x:c>
      <x:c r="H600" s="34" t="n">
        <x:v>0</x:v>
      </x:c>
      <x:c r="I600" s="34" t="n">
        <x:v>0</x:v>
      </x:c>
      <x:c r="J600" t="str">
        <x:v>unchanged</x:v>
      </x:c>
      <x:c r="K600" t="str">
        <x:v>none</x:v>
      </x:c>
      <x:c r="L600" t="n">
        <x:v>1</x:v>
      </x:c>
      <x:c r="M600" t="str">
        <x:v>none</x:v>
      </x:c>
      <x:c r="N600" t="n">
        <x:v>1</x:v>
      </x:c>
    </x:row>
    <x:row r="601">
      <x:c r="A601" t="str">
        <x:v>a2_coverage_new_minus_old_on_old_a1</x:v>
      </x:c>
      <x:c r="B601" t="str">
        <x:v>fact_coverage_ordinal</x:v>
      </x:c>
      <x:c r="C601" t="str">
        <x:f>"qid:7797208395147217894"</x:f>
        <x:v>qid:7797208395147217894</x:v>
      </x:c>
      <x:c r="D601" s="14" t="str">
        <x:v>When did west germany win the world cup?</x:v>
      </x:c>
      <x:c r="E601" t="str">
        <x:v>old_old</x:v>
      </x:c>
      <x:c r="F601" t="str">
        <x:v>old_new</x:v>
      </x:c>
      <x:c r="G601" s="34" t="n">
        <x:v>1</x:v>
      </x:c>
      <x:c r="H601" s="34" t="n">
        <x:v>1</x:v>
      </x:c>
      <x:c r="I601" s="34" t="n">
        <x:v>0</x:v>
      </x:c>
      <x:c r="J601" t="str">
        <x:v>unchanged</x:v>
      </x:c>
      <x:c r="K601" t="str">
        <x:v>complete</x:v>
      </x:c>
      <x:c r="L601" t="n">
        <x:v>1</x:v>
      </x:c>
      <x:c r="M601" t="str">
        <x:v>complete</x:v>
      </x:c>
      <x:c r="N601" t="n">
        <x:v>1</x:v>
      </x:c>
    </x:row>
    <x:row r="602">
      <x:c r="A602" t="str">
        <x:v>a2_coverage_new_minus_old_on_old_a1</x:v>
      </x:c>
      <x:c r="B602" t="str">
        <x:v>fact_coverage_ordinal</x:v>
      </x:c>
      <x:c r="C602" t="str">
        <x:f>"qid:8433533625736230886"</x:f>
        <x:v>qid:8433533625736230886</x:v>
      </x:c>
      <x:c r="D602" s="14" t="str">
        <x:v>Who has won the most trophies man utd or liverpool?</x:v>
      </x:c>
      <x:c r="E602" t="str">
        <x:v>old_old</x:v>
      </x:c>
      <x:c r="F602" t="str">
        <x:v>old_new</x:v>
      </x:c>
      <x:c r="G602" s="34" t="n">
        <x:v>1</x:v>
      </x:c>
      <x:c r="H602" s="34" t="n">
        <x:v>1</x:v>
      </x:c>
      <x:c r="I602" s="34" t="n">
        <x:v>0</x:v>
      </x:c>
      <x:c r="J602" t="str">
        <x:v>unchanged</x:v>
      </x:c>
      <x:c r="K602" t="str">
        <x:v>complete</x:v>
      </x:c>
      <x:c r="L602" t="n">
        <x:v>1</x:v>
      </x:c>
      <x:c r="M602" t="str">
        <x:v>complete</x:v>
      </x:c>
      <x:c r="N602" t="n">
        <x:v>1</x:v>
      </x:c>
    </x:row>
    <x:row r="603">
      <x:c r="A603" t="str">
        <x:v>a2_coverage_new_minus_old_on_old_a1</x:v>
      </x:c>
      <x:c r="B603" t="str">
        <x:v>fact_coverage_ordinal</x:v>
      </x:c>
      <x:c r="C603" t="str">
        <x:f>"qid:8686216144939155905"</x:f>
        <x:v>qid:8686216144939155905</x:v>
      </x:c>
      <x:c r="D603" s="14" t="str">
        <x:v>What is the name of the time zone for london?</x:v>
      </x:c>
      <x:c r="E603" t="str">
        <x:v>old_old</x:v>
      </x:c>
      <x:c r="F603" t="str">
        <x:v>old_new</x:v>
      </x:c>
      <x:c r="G603" s="34" t="n">
        <x:v>1</x:v>
      </x:c>
      <x:c r="H603" s="34" t="n">
        <x:v>1</x:v>
      </x:c>
      <x:c r="I603" s="34" t="n">
        <x:v>0</x:v>
      </x:c>
      <x:c r="J603" t="str">
        <x:v>unchanged</x:v>
      </x:c>
      <x:c r="K603" t="str">
        <x:v>complete</x:v>
      </x:c>
      <x:c r="L603" t="n">
        <x:v>1</x:v>
      </x:c>
      <x:c r="M603" t="str">
        <x:v>complete</x:v>
      </x:c>
      <x:c r="N603" t="n">
        <x:v>1</x:v>
      </x:c>
    </x:row>
    <x:row r="604">
      <x:c r="A604" t="str">
        <x:v>a2_coverage_new_minus_old_on_old_a1</x:v>
      </x:c>
      <x:c r="B604" t="str">
        <x:v>fact_coverage_ordinal</x:v>
      </x:c>
      <x:c r="C604" t="str">
        <x:f>"qid:87005427005915954"</x:f>
        <x:v>qid:87005427005915954</x:v>
      </x:c>
      <x:c r="D604" s="14" t="str">
        <x:v>When was the last time galway won the hurling all ireland?</x:v>
      </x:c>
      <x:c r="E604" t="str">
        <x:v>old_old</x:v>
      </x:c>
      <x:c r="F604" t="str">
        <x:v>old_new</x:v>
      </x:c>
      <x:c r="G604" s="34" t="n">
        <x:v>1</x:v>
      </x:c>
      <x:c r="H604" s="34" t="n">
        <x:v>1</x:v>
      </x:c>
      <x:c r="I604" s="34" t="n">
        <x:v>0</x:v>
      </x:c>
      <x:c r="J604" t="str">
        <x:v>unchanged</x:v>
      </x:c>
      <x:c r="K604" t="str">
        <x:v>complete</x:v>
      </x:c>
      <x:c r="L604" t="n">
        <x:v>1</x:v>
      </x:c>
      <x:c r="M604" t="str">
        <x:v>complete</x:v>
      </x:c>
      <x:c r="N604" t="n">
        <x:v>1</x:v>
      </x:c>
    </x:row>
    <x:row r="605">
      <x:c r="A605" t="str">
        <x:v>a2_coverage_new_minus_old_on_new_a1</x:v>
      </x:c>
      <x:c r="B605" t="str">
        <x:v>fact_coverage_ordinal</x:v>
      </x:c>
      <x:c r="C605" t="str">
        <x:f>"qid:-1062522255440685408"</x:f>
        <x:v>qid:-1062522255440685408</x:v>
      </x:c>
      <x:c r="D605" s="14" t="str">
        <x:v>When did the first generation kindle fire come out?</x:v>
      </x:c>
      <x:c r="E605" t="str">
        <x:v>new_old</x:v>
      </x:c>
      <x:c r="F605" t="str">
        <x:v>new_new</x:v>
      </x:c>
      <x:c r="G605" s="34" t="n">
        <x:v>1</x:v>
      </x:c>
      <x:c r="H605" s="34" t="n">
        <x:v>1</x:v>
      </x:c>
      <x:c r="I605" s="34" t="n">
        <x:v>0</x:v>
      </x:c>
      <x:c r="J605" t="str">
        <x:v>unchanged</x:v>
      </x:c>
      <x:c r="K605" t="str">
        <x:v>complete</x:v>
      </x:c>
      <x:c r="L605" t="n">
        <x:v>1</x:v>
      </x:c>
      <x:c r="M605" t="str">
        <x:v>complete</x:v>
      </x:c>
      <x:c r="N605" t="n">
        <x:v>1</x:v>
      </x:c>
    </x:row>
    <x:row r="606">
      <x:c r="A606" t="str">
        <x:v>a2_coverage_new_minus_old_on_new_a1</x:v>
      </x:c>
      <x:c r="B606" t="str">
        <x:v>fact_coverage_ordinal</x:v>
      </x:c>
      <x:c r="C606" t="str">
        <x:f>"qid:-1859261645300630518"</x:f>
        <x:v>qid:-1859261645300630518</x:v>
      </x:c>
      <x:c r="D606" s="14" t="str">
        <x:v>When does steve come back in shameless season 5?</x:v>
      </x:c>
      <x:c r="E606" t="str">
        <x:v>new_old</x:v>
      </x:c>
      <x:c r="F606" t="str">
        <x:v>new_new</x:v>
      </x:c>
      <x:c r="G606" s="34" t="n">
        <x:v>1</x:v>
      </x:c>
      <x:c r="H606" s="34" t="n">
        <x:v>1</x:v>
      </x:c>
      <x:c r="I606" s="34" t="n">
        <x:v>0</x:v>
      </x:c>
      <x:c r="J606" t="str">
        <x:v>unchanged</x:v>
      </x:c>
      <x:c r="K606" t="str">
        <x:v>complete</x:v>
      </x:c>
      <x:c r="L606" t="n">
        <x:v>1</x:v>
      </x:c>
      <x:c r="M606" t="str">
        <x:v>complete</x:v>
      </x:c>
      <x:c r="N606" t="n">
        <x:v>1</x:v>
      </x:c>
    </x:row>
    <x:row r="607">
      <x:c r="A607" t="str">
        <x:v>a2_coverage_new_minus_old_on_new_a1</x:v>
      </x:c>
      <x:c r="B607" t="str">
        <x:v>fact_coverage_ordinal</x:v>
      </x:c>
      <x:c r="C607" t="str">
        <x:f>"qid:-2585133819352441604"</x:f>
        <x:v>qid:-2585133819352441604</x:v>
      </x:c>
      <x:c r="D607" s="14" t="str">
        <x:v>Name of first episode of this is us?</x:v>
      </x:c>
      <x:c r="E607" t="str">
        <x:v>new_old</x:v>
      </x:c>
      <x:c r="F607" t="str">
        <x:v>new_new</x:v>
      </x:c>
      <x:c r="G607" s="34" t="n">
        <x:v>1</x:v>
      </x:c>
      <x:c r="H607" s="34" t="n">
        <x:v>1</x:v>
      </x:c>
      <x:c r="I607" s="34" t="n">
        <x:v>0</x:v>
      </x:c>
      <x:c r="J607" t="str">
        <x:v>unchanged</x:v>
      </x:c>
      <x:c r="K607" t="str">
        <x:v>complete</x:v>
      </x:c>
      <x:c r="L607" t="n">
        <x:v>1</x:v>
      </x:c>
      <x:c r="M607" t="str">
        <x:v>complete</x:v>
      </x:c>
      <x:c r="N607" t="n">
        <x:v>1</x:v>
      </x:c>
    </x:row>
    <x:row r="608">
      <x:c r="A608" t="str">
        <x:v>a2_coverage_new_minus_old_on_new_a1</x:v>
      </x:c>
      <x:c r="B608" t="str">
        <x:v>fact_coverage_ordinal</x:v>
      </x:c>
      <x:c r="C608" t="str">
        <x:f>"qid:-3228483207040151533"</x:f>
        <x:v>qid:-3228483207040151533</x:v>
      </x:c>
      <x:c r="D608" s="14" t="str">
        <x:v>What bodies of water surround cabo san lucas?</x:v>
      </x:c>
      <x:c r="E608" t="str">
        <x:v>new_old</x:v>
      </x:c>
      <x:c r="F608" t="str">
        <x:v>new_new</x:v>
      </x:c>
      <x:c r="G608" s="34" t="n">
        <x:v>1</x:v>
      </x:c>
      <x:c r="H608" s="34" t="n">
        <x:v>1</x:v>
      </x:c>
      <x:c r="I608" s="34" t="n">
        <x:v>0</x:v>
      </x:c>
      <x:c r="J608" t="str">
        <x:v>unchanged</x:v>
      </x:c>
      <x:c r="K608" t="str">
        <x:v>complete</x:v>
      </x:c>
      <x:c r="L608" t="n">
        <x:v>1</x:v>
      </x:c>
      <x:c r="M608" t="str">
        <x:v>complete</x:v>
      </x:c>
      <x:c r="N608" t="n">
        <x:v>1</x:v>
      </x:c>
    </x:row>
    <x:row r="609">
      <x:c r="A609" t="str">
        <x:v>a2_coverage_new_minus_old_on_new_a1</x:v>
      </x:c>
      <x:c r="B609" t="str">
        <x:v>fact_coverage_ordinal</x:v>
      </x:c>
      <x:c r="C609" t="str">
        <x:f>"qid:-3279585462082900736"</x:f>
        <x:v>qid:-3279585462082900736</x:v>
      </x:c>
      <x:c r="D609" s="14" t="str">
        <x:v>Who gets fired on grey's anatomy season 6?</x:v>
      </x:c>
      <x:c r="E609" t="str">
        <x:v>new_old</x:v>
      </x:c>
      <x:c r="F609" t="str">
        <x:v>new_new</x:v>
      </x:c>
      <x:c r="G609" s="34" t="n">
        <x:v>0.5</x:v>
      </x:c>
      <x:c r="H609" s="34" t="n">
        <x:v>0.5</x:v>
      </x:c>
      <x:c r="I609" s="34" t="n">
        <x:v>0</x:v>
      </x:c>
      <x:c r="J609" t="str">
        <x:v>unchanged</x:v>
      </x:c>
      <x:c r="K609" t="str">
        <x:v>partial</x:v>
      </x:c>
      <x:c r="L609" t="n">
        <x:v>1</x:v>
      </x:c>
      <x:c r="M609" t="str">
        <x:v>partial</x:v>
      </x:c>
      <x:c r="N609" t="n">
        <x:v>1</x:v>
      </x:c>
    </x:row>
    <x:row r="610">
      <x:c r="A610" t="str">
        <x:v>a2_coverage_new_minus_old_on_new_a1</x:v>
      </x:c>
      <x:c r="B610" t="str">
        <x:v>fact_coverage_ordinal</x:v>
      </x:c>
      <x:c r="C610" t="str">
        <x:f>"qid:-3344541168958463110"</x:f>
        <x:v>qid:-3344541168958463110</x:v>
      </x:c>
      <x:c r="D610" s="14" t="str">
        <x:v>Who fought with an angel in the bible?</x:v>
      </x:c>
      <x:c r="E610" t="str">
        <x:v>new_old</x:v>
      </x:c>
      <x:c r="F610" t="str">
        <x:v>new_new</x:v>
      </x:c>
      <x:c r="G610" s="34" t="n">
        <x:v>1</x:v>
      </x:c>
      <x:c r="H610" s="34" t="n">
        <x:v>1</x:v>
      </x:c>
      <x:c r="I610" s="34" t="n">
        <x:v>0</x:v>
      </x:c>
      <x:c r="J610" t="str">
        <x:v>unchanged</x:v>
      </x:c>
      <x:c r="K610" t="str">
        <x:v>complete</x:v>
      </x:c>
      <x:c r="L610" t="n">
        <x:v>1</x:v>
      </x:c>
      <x:c r="M610" t="str">
        <x:v>complete</x:v>
      </x:c>
      <x:c r="N610" t="n">
        <x:v>1</x:v>
      </x:c>
    </x:row>
    <x:row r="611">
      <x:c r="A611" t="str">
        <x:v>a2_coverage_new_minus_old_on_new_a1</x:v>
      </x:c>
      <x:c r="B611" t="str">
        <x:v>fact_coverage_ordinal</x:v>
      </x:c>
      <x:c r="C611" t="str">
        <x:f>"qid:-4286108617234818000"</x:f>
        <x:v>qid:-4286108617234818000</x:v>
      </x:c>
      <x:c r="D611" s="14" t="str">
        <x:v>When does the new super troopers movie come out?</x:v>
      </x:c>
      <x:c r="E611" t="str">
        <x:v>new_old</x:v>
      </x:c>
      <x:c r="F611" t="str">
        <x:v>new_new</x:v>
      </x:c>
      <x:c r="G611" s="34" t="n">
        <x:v>1</x:v>
      </x:c>
      <x:c r="H611" s="34" t="n">
        <x:v>1</x:v>
      </x:c>
      <x:c r="I611" s="34" t="n">
        <x:v>0</x:v>
      </x:c>
      <x:c r="J611" t="str">
        <x:v>unchanged</x:v>
      </x:c>
      <x:c r="K611" t="str">
        <x:v>complete</x:v>
      </x:c>
      <x:c r="L611" t="n">
        <x:v>1</x:v>
      </x:c>
      <x:c r="M611" t="str">
        <x:v>complete</x:v>
      </x:c>
      <x:c r="N611" t="n">
        <x:v>1</x:v>
      </x:c>
    </x:row>
    <x:row r="612">
      <x:c r="A612" t="str">
        <x:v>a2_coverage_new_minus_old_on_new_a1</x:v>
      </x:c>
      <x:c r="B612" t="str">
        <x:v>fact_coverage_ordinal</x:v>
      </x:c>
      <x:c r="C612" t="str">
        <x:f>"qid:-4456614433280196572"</x:f>
        <x:v>qid:-4456614433280196572</x:v>
      </x:c>
      <x:c r="D612" s="14" t="str">
        <x:v>What season does meredith and derek get married in grey's anatomy?</x:v>
      </x:c>
      <x:c r="E612" t="str">
        <x:v>new_old</x:v>
      </x:c>
      <x:c r="F612" t="str">
        <x:v>new_new</x:v>
      </x:c>
      <x:c r="G612" s="34" t="n">
        <x:v>1</x:v>
      </x:c>
      <x:c r="H612" s="34" t="n">
        <x:v>1</x:v>
      </x:c>
      <x:c r="I612" s="34" t="n">
        <x:v>0</x:v>
      </x:c>
      <x:c r="J612" t="str">
        <x:v>unchanged</x:v>
      </x:c>
      <x:c r="K612" t="str">
        <x:v>complete</x:v>
      </x:c>
      <x:c r="L612" t="n">
        <x:v>1</x:v>
      </x:c>
      <x:c r="M612" t="str">
        <x:v>complete</x:v>
      </x:c>
      <x:c r="N612" t="n">
        <x:v>1</x:v>
      </x:c>
    </x:row>
    <x:row r="613">
      <x:c r="A613" t="str">
        <x:v>a2_coverage_new_minus_old_on_new_a1</x:v>
      </x:c>
      <x:c r="B613" t="str">
        <x:v>fact_coverage_ordinal</x:v>
      </x:c>
      <x:c r="C613" t="str">
        <x:f>"qid:-447198893588059167"</x:f>
        <x:v>qid:-447198893588059167</x:v>
      </x:c>
      <x:c r="D613" s="14" t="str">
        <x:v>Who played the father in leave it to beaver?</x:v>
      </x:c>
      <x:c r="E613" t="str">
        <x:v>new_old</x:v>
      </x:c>
      <x:c r="F613" t="str">
        <x:v>new_new</x:v>
      </x:c>
      <x:c r="G613" s="34" t="n">
        <x:v>1</x:v>
      </x:c>
      <x:c r="H613" s="34" t="n">
        <x:v>1</x:v>
      </x:c>
      <x:c r="I613" s="34" t="n">
        <x:v>0</x:v>
      </x:c>
      <x:c r="J613" t="str">
        <x:v>unchanged</x:v>
      </x:c>
      <x:c r="K613" t="str">
        <x:v>complete</x:v>
      </x:c>
      <x:c r="L613" t="n">
        <x:v>1</x:v>
      </x:c>
      <x:c r="M613" t="str">
        <x:v>complete</x:v>
      </x:c>
      <x:c r="N613" t="n">
        <x:v>1</x:v>
      </x:c>
    </x:row>
    <x:row r="614">
      <x:c r="A614" t="str">
        <x:v>a2_coverage_new_minus_old_on_new_a1</x:v>
      </x:c>
      <x:c r="B614" t="str">
        <x:v>fact_coverage_ordinal</x:v>
      </x:c>
      <x:c r="C614" t="str">
        <x:f>"qid:-4649654703638364295"</x:f>
        <x:v>qid:-4649654703638364295</x:v>
      </x:c>
      <x:c r="D614" s="14" t="str">
        <x:v>Who made it through the divisional finals world of dance?</x:v>
      </x:c>
      <x:c r="E614" t="str">
        <x:v>new_old</x:v>
      </x:c>
      <x:c r="F614" t="str">
        <x:v>new_new</x:v>
      </x:c>
      <x:c r="G614" s="34" t="n">
        <x:v>1</x:v>
      </x:c>
      <x:c r="H614" s="34" t="n">
        <x:v>1</x:v>
      </x:c>
      <x:c r="I614" s="34" t="n">
        <x:v>0</x:v>
      </x:c>
      <x:c r="J614" t="str">
        <x:v>unchanged</x:v>
      </x:c>
      <x:c r="K614" t="str">
        <x:v>complete</x:v>
      </x:c>
      <x:c r="L614" t="n">
        <x:v>1</x:v>
      </x:c>
      <x:c r="M614" t="str">
        <x:v>complete</x:v>
      </x:c>
      <x:c r="N614" t="n">
        <x:v>1</x:v>
      </x:c>
    </x:row>
    <x:row r="615">
      <x:c r="A615" t="str">
        <x:v>a2_coverage_new_minus_old_on_new_a1</x:v>
      </x:c>
      <x:c r="B615" t="str">
        <x:v>fact_coverage_ordinal</x:v>
      </x:c>
      <x:c r="C615" t="str">
        <x:f>"qid:-4873786835306543030"</x:f>
        <x:v>qid:-4873786835306543030</x:v>
      </x:c>
      <x:c r="D615" s="14" t="str">
        <x:v>Who is the chief minister of m. p?</x:v>
      </x:c>
      <x:c r="E615" t="str">
        <x:v>new_old</x:v>
      </x:c>
      <x:c r="F615" t="str">
        <x:v>new_new</x:v>
      </x:c>
      <x:c r="G615" s="34" t="n">
        <x:v>1</x:v>
      </x:c>
      <x:c r="H615" s="34" t="n">
        <x:v>1</x:v>
      </x:c>
      <x:c r="I615" s="34" t="n">
        <x:v>0</x:v>
      </x:c>
      <x:c r="J615" t="str">
        <x:v>unchanged</x:v>
      </x:c>
      <x:c r="K615" t="str">
        <x:v>complete</x:v>
      </x:c>
      <x:c r="L615" t="n">
        <x:v>1</x:v>
      </x:c>
      <x:c r="M615" t="str">
        <x:v>complete</x:v>
      </x:c>
      <x:c r="N615" t="n">
        <x:v>1</x:v>
      </x:c>
    </x:row>
    <x:row r="616">
      <x:c r="A616" t="str">
        <x:v>a2_coverage_new_minus_old_on_new_a1</x:v>
      </x:c>
      <x:c r="B616" t="str">
        <x:v>fact_coverage_ordinal</x:v>
      </x:c>
      <x:c r="C616" t="str">
        <x:f>"qid:-4995398567532229571"</x:f>
        <x:v>qid:-4995398567532229571</x:v>
      </x:c>
      <x:c r="D616" s="14" t="str">
        <x:v>When did ragtime flourished in the united states?</x:v>
      </x:c>
      <x:c r="E616" t="str">
        <x:v>new_old</x:v>
      </x:c>
      <x:c r="F616" t="str">
        <x:v>new_new</x:v>
      </x:c>
      <x:c r="G616" s="34" t="n">
        <x:v>1</x:v>
      </x:c>
      <x:c r="H616" s="34" t="n">
        <x:v>1</x:v>
      </x:c>
      <x:c r="I616" s="34" t="n">
        <x:v>0</x:v>
      </x:c>
      <x:c r="J616" t="str">
        <x:v>unchanged</x:v>
      </x:c>
      <x:c r="K616" t="str">
        <x:v>complete</x:v>
      </x:c>
      <x:c r="L616" t="n">
        <x:v>1</x:v>
      </x:c>
      <x:c r="M616" t="str">
        <x:v>complete</x:v>
      </x:c>
      <x:c r="N616" t="n">
        <x:v>1</x:v>
      </x:c>
    </x:row>
    <x:row r="617">
      <x:c r="A617" t="str">
        <x:v>a2_coverage_new_minus_old_on_new_a1</x:v>
      </x:c>
      <x:c r="B617" t="str">
        <x:v>fact_coverage_ordinal</x:v>
      </x:c>
      <x:c r="C617" t="str">
        <x:f>"qid:-5036947181661390825"</x:f>
        <x:v>qid:-5036947181661390825</x:v>
      </x:c>
      <x:c r="D617" s="14" t="str">
        <x:v>When was the vietnam veterans war memorial built?</x:v>
      </x:c>
      <x:c r="E617" t="str">
        <x:v>new_old</x:v>
      </x:c>
      <x:c r="F617" t="str">
        <x:v>new_new</x:v>
      </x:c>
      <x:c r="G617" s="34" t="n">
        <x:v>1</x:v>
      </x:c>
      <x:c r="H617" s="34" t="n">
        <x:v>1</x:v>
      </x:c>
      <x:c r="I617" s="34" t="n">
        <x:v>0</x:v>
      </x:c>
      <x:c r="J617" t="str">
        <x:v>unchanged</x:v>
      </x:c>
      <x:c r="K617" t="str">
        <x:v>complete</x:v>
      </x:c>
      <x:c r="L617" t="n">
        <x:v>1</x:v>
      </x:c>
      <x:c r="M617" t="str">
        <x:v>complete</x:v>
      </x:c>
      <x:c r="N617" t="n">
        <x:v>1</x:v>
      </x:c>
    </x:row>
    <x:row r="618">
      <x:c r="A618" t="str">
        <x:v>a2_coverage_new_minus_old_on_new_a1</x:v>
      </x:c>
      <x:c r="B618" t="str">
        <x:v>fact_coverage_ordinal</x:v>
      </x:c>
      <x:c r="C618" t="str">
        <x:f>"qid:-5116644172939113883"</x:f>
        <x:v>qid:-5116644172939113883</x:v>
      </x:c>
      <x:c r="D618" s="14" t="str">
        <x:v>Who raps in the gorillaz song clint eastwood?</x:v>
      </x:c>
      <x:c r="E618" t="str">
        <x:v>new_old</x:v>
      </x:c>
      <x:c r="F618" t="str">
        <x:v>new_new</x:v>
      </x:c>
      <x:c r="G618" s="34" t="n">
        <x:v>1</x:v>
      </x:c>
      <x:c r="H618" s="34" t="n">
        <x:v>1</x:v>
      </x:c>
      <x:c r="I618" s="34" t="n">
        <x:v>0</x:v>
      </x:c>
      <x:c r="J618" t="str">
        <x:v>unchanged</x:v>
      </x:c>
      <x:c r="K618" t="str">
        <x:v>complete</x:v>
      </x:c>
      <x:c r="L618" t="n">
        <x:v>1</x:v>
      </x:c>
      <x:c r="M618" t="str">
        <x:v>complete</x:v>
      </x:c>
      <x:c r="N618" t="n">
        <x:v>1</x:v>
      </x:c>
    </x:row>
    <x:row r="619">
      <x:c r="A619" t="str">
        <x:v>a2_coverage_new_minus_old_on_new_a1</x:v>
      </x:c>
      <x:c r="B619" t="str">
        <x:v>fact_coverage_ordinal</x:v>
      </x:c>
      <x:c r="C619" t="str">
        <x:f>"qid:-5333049627570569397"</x:f>
        <x:v>qid:-5333049627570569397</x:v>
      </x:c>
      <x:c r="D619" s="14" t="str">
        <x:v>When did the song can't touch this come out?</x:v>
      </x:c>
      <x:c r="E619" t="str">
        <x:v>new_old</x:v>
      </x:c>
      <x:c r="F619" t="str">
        <x:v>new_new</x:v>
      </x:c>
      <x:c r="G619" s="34" t="n">
        <x:v>1</x:v>
      </x:c>
      <x:c r="H619" s="34" t="n">
        <x:v>1</x:v>
      </x:c>
      <x:c r="I619" s="34" t="n">
        <x:v>0</x:v>
      </x:c>
      <x:c r="J619" t="str">
        <x:v>unchanged</x:v>
      </x:c>
      <x:c r="K619" t="str">
        <x:v>complete</x:v>
      </x:c>
      <x:c r="L619" t="n">
        <x:v>1</x:v>
      </x:c>
      <x:c r="M619" t="str">
        <x:v>complete</x:v>
      </x:c>
      <x:c r="N619" t="n">
        <x:v>1</x:v>
      </x:c>
    </x:row>
    <x:row r="620">
      <x:c r="A620" t="str">
        <x:v>a2_coverage_new_minus_old_on_new_a1</x:v>
      </x:c>
      <x:c r="B620" t="str">
        <x:v>fact_coverage_ordinal</x:v>
      </x:c>
      <x:c r="C620" t="str">
        <x:f>"qid:-5564120845047915486"</x:f>
        <x:v>qid:-5564120845047915486</x:v>
      </x:c>
      <x:c r="D620" s="14" t="str">
        <x:v>Where do you find a simple gear train?</x:v>
      </x:c>
      <x:c r="E620" t="str">
        <x:v>new_old</x:v>
      </x:c>
      <x:c r="F620" t="str">
        <x:v>new_new</x:v>
      </x:c>
      <x:c r="G620" s="34" t="n">
        <x:v>1</x:v>
      </x:c>
      <x:c r="H620" s="34" t="n">
        <x:v>1</x:v>
      </x:c>
      <x:c r="I620" s="34" t="n">
        <x:v>0</x:v>
      </x:c>
      <x:c r="J620" t="str">
        <x:v>unchanged</x:v>
      </x:c>
      <x:c r="K620" t="str">
        <x:v>complete</x:v>
      </x:c>
      <x:c r="L620" t="n">
        <x:v>1</x:v>
      </x:c>
      <x:c r="M620" t="str">
        <x:v>complete</x:v>
      </x:c>
      <x:c r="N620" t="n">
        <x:v>1</x:v>
      </x:c>
    </x:row>
    <x:row r="621">
      <x:c r="A621" t="str">
        <x:v>a2_coverage_new_minus_old_on_new_a1</x:v>
      </x:c>
      <x:c r="B621" t="str">
        <x:v>fact_coverage_ordinal</x:v>
      </x:c>
      <x:c r="C621" t="str">
        <x:f>"qid:-5842265707961388968"</x:f>
        <x:v>qid:-5842265707961388968</x:v>
      </x:c>
      <x:c r="D621" s="14" t="str">
        <x:v>Who beat villanova last year in the ncaa tournament?</x:v>
      </x:c>
      <x:c r="E621" t="str">
        <x:v>new_old</x:v>
      </x:c>
      <x:c r="F621" t="str">
        <x:v>new_new</x:v>
      </x:c>
      <x:c r="G621" s="34" t="n">
        <x:v>1</x:v>
      </x:c>
      <x:c r="H621" s="34" t="n">
        <x:v>1</x:v>
      </x:c>
      <x:c r="I621" s="34" t="n">
        <x:v>0</x:v>
      </x:c>
      <x:c r="J621" t="str">
        <x:v>unchanged</x:v>
      </x:c>
      <x:c r="K621" t="str">
        <x:v>complete</x:v>
      </x:c>
      <x:c r="L621" t="n">
        <x:v>1</x:v>
      </x:c>
      <x:c r="M621" t="str">
        <x:v>complete</x:v>
      </x:c>
      <x:c r="N621" t="n">
        <x:v>1</x:v>
      </x:c>
    </x:row>
    <x:row r="622">
      <x:c r="A622" t="str">
        <x:v>a2_coverage_new_minus_old_on_new_a1</x:v>
      </x:c>
      <x:c r="B622" t="str">
        <x:v>fact_coverage_ordinal</x:v>
      </x:c>
      <x:c r="C622" t="str">
        <x:f>"qid:-5942352520455511076"</x:f>
        <x:v>qid:-5942352520455511076</x:v>
      </x:c>
      <x:c r="D622" s="14" t="str">
        <x:v>Where can adipose tissue be found in the body?</x:v>
      </x:c>
      <x:c r="E622" t="str">
        <x:v>new_old</x:v>
      </x:c>
      <x:c r="F622" t="str">
        <x:v>new_new</x:v>
      </x:c>
      <x:c r="G622" s="34" t="n">
        <x:v>0.5</x:v>
      </x:c>
      <x:c r="H622" s="34" t="n">
        <x:v>1</x:v>
      </x:c>
      <x:c r="I622" s="34" t="n">
        <x:v>0.5</x:v>
      </x:c>
      <x:c r="J622" t="str">
        <x:v>improved</x:v>
      </x:c>
      <x:c r="K622" t="str">
        <x:v>partial</x:v>
      </x:c>
      <x:c r="L622" t="n">
        <x:v>1</x:v>
      </x:c>
      <x:c r="M622" t="str">
        <x:v>complete</x:v>
      </x:c>
      <x:c r="N622" t="n">
        <x:v>1</x:v>
      </x:c>
    </x:row>
    <x:row r="623">
      <x:c r="A623" t="str">
        <x:v>a2_coverage_new_minus_old_on_new_a1</x:v>
      </x:c>
      <x:c r="B623" t="str">
        <x:v>fact_coverage_ordinal</x:v>
      </x:c>
      <x:c r="C623" t="str">
        <x:f>"qid:-62521546794442829"</x:f>
        <x:v>qid:-62521546794442829</x:v>
      </x:c>
      <x:c r="D623" s="14" t="str">
        <x:v>For whom was the battle of king's mountain a victory?</x:v>
      </x:c>
      <x:c r="E623" t="str">
        <x:v>new_old</x:v>
      </x:c>
      <x:c r="F623" t="str">
        <x:v>new_new</x:v>
      </x:c>
      <x:c r="G623" s="34" t="n">
        <x:v>1</x:v>
      </x:c>
      <x:c r="H623" s="34" t="n">
        <x:v>1</x:v>
      </x:c>
      <x:c r="I623" s="34" t="n">
        <x:v>0</x:v>
      </x:c>
      <x:c r="J623" t="str">
        <x:v>unchanged</x:v>
      </x:c>
      <x:c r="K623" t="str">
        <x:v>complete</x:v>
      </x:c>
      <x:c r="L623" t="n">
        <x:v>1</x:v>
      </x:c>
      <x:c r="M623" t="str">
        <x:v>complete</x:v>
      </x:c>
      <x:c r="N623" t="n">
        <x:v>1</x:v>
      </x:c>
    </x:row>
    <x:row r="624">
      <x:c r="A624" t="str">
        <x:v>a2_coverage_new_minus_old_on_new_a1</x:v>
      </x:c>
      <x:c r="B624" t="str">
        <x:v>fact_coverage_ordinal</x:v>
      </x:c>
      <x:c r="C624" t="str">
        <x:f>"qid:-6702031255040326279"</x:f>
        <x:v>qid:-6702031255040326279</x:v>
      </x:c>
      <x:c r="D624" s="14" t="str">
        <x:v>Which of the animal is a carrier of h1n1?</x:v>
      </x:c>
      <x:c r="E624" t="str">
        <x:v>new_old</x:v>
      </x:c>
      <x:c r="F624" t="str">
        <x:v>new_new</x:v>
      </x:c>
      <x:c r="G624" s="34" t="n">
        <x:v>1</x:v>
      </x:c>
      <x:c r="H624" s="34" t="n">
        <x:v>1</x:v>
      </x:c>
      <x:c r="I624" s="34" t="n">
        <x:v>0</x:v>
      </x:c>
      <x:c r="J624" t="str">
        <x:v>unchanged</x:v>
      </x:c>
      <x:c r="K624" t="str">
        <x:v>complete</x:v>
      </x:c>
      <x:c r="L624" t="n">
        <x:v>1</x:v>
      </x:c>
      <x:c r="M624" t="str">
        <x:v>complete</x:v>
      </x:c>
      <x:c r="N624" t="n">
        <x:v>1</x:v>
      </x:c>
    </x:row>
    <x:row r="625">
      <x:c r="A625" t="str">
        <x:v>a2_coverage_new_minus_old_on_new_a1</x:v>
      </x:c>
      <x:c r="B625" t="str">
        <x:v>fact_coverage_ordinal</x:v>
      </x:c>
      <x:c r="C625" t="str">
        <x:f>"qid:-728189424752983312"</x:f>
        <x:v>qid:-728189424752983312</x:v>
      </x:c>
      <x:c r="D625" s="14" t="str">
        <x:v>Where did the term bye felicia come from?</x:v>
      </x:c>
      <x:c r="E625" t="str">
        <x:v>new_old</x:v>
      </x:c>
      <x:c r="F625" t="str">
        <x:v>new_new</x:v>
      </x:c>
      <x:c r="G625" s="34" t="n">
        <x:v>0.5</x:v>
      </x:c>
      <x:c r="H625" s="34" t="n">
        <x:v>0.5</x:v>
      </x:c>
      <x:c r="I625" s="34" t="n">
        <x:v>0</x:v>
      </x:c>
      <x:c r="J625" t="str">
        <x:v>unchanged</x:v>
      </x:c>
      <x:c r="K625" t="str">
        <x:v>partial</x:v>
      </x:c>
      <x:c r="L625" t="n">
        <x:v>1</x:v>
      </x:c>
      <x:c r="M625" t="str">
        <x:v>partial</x:v>
      </x:c>
      <x:c r="N625" t="n">
        <x:v>1</x:v>
      </x:c>
    </x:row>
    <x:row r="626">
      <x:c r="A626" t="str">
        <x:v>a2_coverage_new_minus_old_on_new_a1</x:v>
      </x:c>
      <x:c r="B626" t="str">
        <x:v>fact_coverage_ordinal</x:v>
      </x:c>
      <x:c r="C626" t="str">
        <x:f>"qid:-7699606393193219666"</x:f>
        <x:v>qid:-7699606393193219666</x:v>
      </x:c>
      <x:c r="D626" s="14" t="str">
        <x:v>Who played cowboy curtis on pee wee herman?</x:v>
      </x:c>
      <x:c r="E626" t="str">
        <x:v>new_old</x:v>
      </x:c>
      <x:c r="F626" t="str">
        <x:v>new_new</x:v>
      </x:c>
      <x:c r="G626" s="34" t="n">
        <x:v>1</x:v>
      </x:c>
      <x:c r="H626" s="34" t="n">
        <x:v>1</x:v>
      </x:c>
      <x:c r="I626" s="34" t="n">
        <x:v>0</x:v>
      </x:c>
      <x:c r="J626" t="str">
        <x:v>unchanged</x:v>
      </x:c>
      <x:c r="K626" t="str">
        <x:v>complete</x:v>
      </x:c>
      <x:c r="L626" t="n">
        <x:v>1</x:v>
      </x:c>
      <x:c r="M626" t="str">
        <x:v>complete</x:v>
      </x:c>
      <x:c r="N626" t="n">
        <x:v>1</x:v>
      </x:c>
    </x:row>
    <x:row r="627">
      <x:c r="A627" t="str">
        <x:v>a2_coverage_new_minus_old_on_new_a1</x:v>
      </x:c>
      <x:c r="B627" t="str">
        <x:v>fact_coverage_ordinal</x:v>
      </x:c>
      <x:c r="C627" t="str">
        <x:f>"qid:-7824075627194227170"</x:f>
        <x:v>qid:-7824075627194227170</x:v>
      </x:c>
      <x:c r="D627" s="14" t="str">
        <x:v>When was the commission fir sc/st established?</x:v>
      </x:c>
      <x:c r="E627" t="str">
        <x:v>new_old</x:v>
      </x:c>
      <x:c r="F627" t="str">
        <x:v>new_new</x:v>
      </x:c>
      <x:c r="G627" s="34" t="n">
        <x:v>1</x:v>
      </x:c>
      <x:c r="H627" s="34" t="n">
        <x:v>1</x:v>
      </x:c>
      <x:c r="I627" s="34" t="n">
        <x:v>0</x:v>
      </x:c>
      <x:c r="J627" t="str">
        <x:v>unchanged</x:v>
      </x:c>
      <x:c r="K627" t="str">
        <x:v>complete</x:v>
      </x:c>
      <x:c r="L627" t="n">
        <x:v>1</x:v>
      </x:c>
      <x:c r="M627" t="str">
        <x:v>complete</x:v>
      </x:c>
      <x:c r="N627" t="n">
        <x:v>1</x:v>
      </x:c>
    </x:row>
    <x:row r="628">
      <x:c r="A628" t="str">
        <x:v>a2_coverage_new_minus_old_on_new_a1</x:v>
      </x:c>
      <x:c r="B628" t="str">
        <x:v>fact_coverage_ordinal</x:v>
      </x:c>
      <x:c r="C628" t="str">
        <x:f>"qid:-8286966211355378010"</x:f>
        <x:v>qid:-8286966211355378010</x:v>
      </x:c>
      <x:c r="D628" s="14" t="str">
        <x:v>What is the objective of tour de france?</x:v>
      </x:c>
      <x:c r="E628" t="str">
        <x:v>new_old</x:v>
      </x:c>
      <x:c r="F628" t="str">
        <x:v>new_new</x:v>
      </x:c>
      <x:c r="G628" s="34" t="n">
        <x:v>1</x:v>
      </x:c>
      <x:c r="H628" s="34" t="n">
        <x:v>1</x:v>
      </x:c>
      <x:c r="I628" s="34" t="n">
        <x:v>0</x:v>
      </x:c>
      <x:c r="J628" t="str">
        <x:v>unchanged</x:v>
      </x:c>
      <x:c r="K628" t="str">
        <x:v>complete</x:v>
      </x:c>
      <x:c r="L628" t="n">
        <x:v>1</x:v>
      </x:c>
      <x:c r="M628" t="str">
        <x:v>complete</x:v>
      </x:c>
      <x:c r="N628" t="n">
        <x:v>1</x:v>
      </x:c>
    </x:row>
    <x:row r="629">
      <x:c r="A629" t="str">
        <x:v>a2_coverage_new_minus_old_on_new_a1</x:v>
      </x:c>
      <x:c r="B629" t="str">
        <x:v>fact_coverage_ordinal</x:v>
      </x:c>
      <x:c r="C629" t="str">
        <x:f>"qid:-9141149438582194391"</x:f>
        <x:v>qid:-9141149438582194391</x:v>
      </x:c>
      <x:c r="D629" s="14" t="str">
        <x:v>Who has scored the highest number of runs in test cricket?</x:v>
      </x:c>
      <x:c r="E629" t="str">
        <x:v>new_old</x:v>
      </x:c>
      <x:c r="F629" t="str">
        <x:v>new_new</x:v>
      </x:c>
      <x:c r="G629" s="34" t="n">
        <x:v>1</x:v>
      </x:c>
      <x:c r="H629" s="34" t="n">
        <x:v>1</x:v>
      </x:c>
      <x:c r="I629" s="34" t="n">
        <x:v>0</x:v>
      </x:c>
      <x:c r="J629" t="str">
        <x:v>unchanged</x:v>
      </x:c>
      <x:c r="K629" t="str">
        <x:v>complete</x:v>
      </x:c>
      <x:c r="L629" t="n">
        <x:v>1</x:v>
      </x:c>
      <x:c r="M629" t="str">
        <x:v>complete</x:v>
      </x:c>
      <x:c r="N629" t="n">
        <x:v>1</x:v>
      </x:c>
    </x:row>
    <x:row r="630">
      <x:c r="A630" t="str">
        <x:v>a2_coverage_new_minus_old_on_new_a1</x:v>
      </x:c>
      <x:c r="B630" t="str">
        <x:v>fact_coverage_ordinal</x:v>
      </x:c>
      <x:c r="C630" t="str">
        <x:f>"qid:-99543908387769967"</x:f>
        <x:v>qid:-99543908387769967</x:v>
      </x:c>
      <x:c r="D630" s="14" t="str">
        <x:v>Who does sansa marry on game of thrones?</x:v>
      </x:c>
      <x:c r="E630" t="str">
        <x:v>new_old</x:v>
      </x:c>
      <x:c r="F630" t="str">
        <x:v>new_new</x:v>
      </x:c>
      <x:c r="G630" s="34" t="n">
        <x:v>1</x:v>
      </x:c>
      <x:c r="H630" s="34" t="n">
        <x:v>1</x:v>
      </x:c>
      <x:c r="I630" s="34" t="n">
        <x:v>0</x:v>
      </x:c>
      <x:c r="J630" t="str">
        <x:v>unchanged</x:v>
      </x:c>
      <x:c r="K630" t="str">
        <x:v>complete</x:v>
      </x:c>
      <x:c r="L630" t="n">
        <x:v>1</x:v>
      </x:c>
      <x:c r="M630" t="str">
        <x:v>complete</x:v>
      </x:c>
      <x:c r="N630" t="n">
        <x:v>1</x:v>
      </x:c>
    </x:row>
    <x:row r="631">
      <x:c r="A631" t="str">
        <x:v>a2_coverage_new_minus_old_on_new_a1</x:v>
      </x:c>
      <x:c r="B631" t="str">
        <x:v>fact_coverage_ordinal</x:v>
      </x:c>
      <x:c r="C631" t="str">
        <x:f>"qid:16881061444712536"</x:f>
        <x:v>qid:16881061444712536</x:v>
      </x:c>
      <x:c r="D631" s="14" t="str">
        <x:v>Where does the amazon river start and finish?</x:v>
      </x:c>
      <x:c r="E631" t="str">
        <x:v>new_old</x:v>
      </x:c>
      <x:c r="F631" t="str">
        <x:v>new_new</x:v>
      </x:c>
      <x:c r="G631" s="34" t="n">
        <x:v>1</x:v>
      </x:c>
      <x:c r="H631" s="34" t="n">
        <x:v>1</x:v>
      </x:c>
      <x:c r="I631" s="34" t="n">
        <x:v>0</x:v>
      </x:c>
      <x:c r="J631" t="str">
        <x:v>unchanged</x:v>
      </x:c>
      <x:c r="K631" t="str">
        <x:v>complete</x:v>
      </x:c>
      <x:c r="L631" t="n">
        <x:v>1</x:v>
      </x:c>
      <x:c r="M631" t="str">
        <x:v>complete</x:v>
      </x:c>
      <x:c r="N631" t="n">
        <x:v>1</x:v>
      </x:c>
    </x:row>
    <x:row r="632">
      <x:c r="A632" t="str">
        <x:v>a2_coverage_new_minus_old_on_new_a1</x:v>
      </x:c>
      <x:c r="B632" t="str">
        <x:v>fact_coverage_ordinal</x:v>
      </x:c>
      <x:c r="C632" t="str">
        <x:f>"qid:1763163294931046731"</x:f>
        <x:v>qid:1763163294931046731</x:v>
      </x:c>
      <x:c r="D632" s="14" t="str">
        <x:v>Who played violet rutherford on leave it to beaver?</x:v>
      </x:c>
      <x:c r="E632" t="str">
        <x:v>new_old</x:v>
      </x:c>
      <x:c r="F632" t="str">
        <x:v>new_new</x:v>
      </x:c>
      <x:c r="G632" s="34" t="n">
        <x:v>1</x:v>
      </x:c>
      <x:c r="H632" s="34" t="n">
        <x:v>1</x:v>
      </x:c>
      <x:c r="I632" s="34" t="n">
        <x:v>0</x:v>
      </x:c>
      <x:c r="J632" t="str">
        <x:v>unchanged</x:v>
      </x:c>
      <x:c r="K632" t="str">
        <x:v>complete</x:v>
      </x:c>
      <x:c r="L632" t="n">
        <x:v>1</x:v>
      </x:c>
      <x:c r="M632" t="str">
        <x:v>complete</x:v>
      </x:c>
      <x:c r="N632" t="n">
        <x:v>1</x:v>
      </x:c>
    </x:row>
    <x:row r="633">
      <x:c r="A633" t="str">
        <x:v>a2_coverage_new_minus_old_on_new_a1</x:v>
      </x:c>
      <x:c r="B633" t="str">
        <x:v>fact_coverage_ordinal</x:v>
      </x:c>
      <x:c r="C633" t="str">
        <x:f>"qid:2221044921312683785"</x:f>
        <x:v>qid:2221044921312683785</x:v>
      </x:c>
      <x:c r="D633" s="14" t="str">
        <x:v>When did the apple tv 4k come out?</x:v>
      </x:c>
      <x:c r="E633" t="str">
        <x:v>new_old</x:v>
      </x:c>
      <x:c r="F633" t="str">
        <x:v>new_new</x:v>
      </x:c>
      <x:c r="G633" s="34" t="n">
        <x:v>0.5</x:v>
      </x:c>
      <x:c r="H633" s="34" t="n">
        <x:v>0.5</x:v>
      </x:c>
      <x:c r="I633" s="34" t="n">
        <x:v>0</x:v>
      </x:c>
      <x:c r="J633" t="str">
        <x:v>unchanged</x:v>
      </x:c>
      <x:c r="K633" t="str">
        <x:v>partial</x:v>
      </x:c>
      <x:c r="L633" t="n">
        <x:v>1</x:v>
      </x:c>
      <x:c r="M633" t="str">
        <x:v>partial</x:v>
      </x:c>
      <x:c r="N633" t="n">
        <x:v>1</x:v>
      </x:c>
    </x:row>
    <x:row r="634">
      <x:c r="A634" t="str">
        <x:v>a2_coverage_new_minus_old_on_new_a1</x:v>
      </x:c>
      <x:c r="B634" t="str">
        <x:v>fact_coverage_ordinal</x:v>
      </x:c>
      <x:c r="C634" t="str">
        <x:f>"qid:2469112227919120438"</x:f>
        <x:v>qid:2469112227919120438</x:v>
      </x:c>
      <x:c r="D634" s="14" t="str">
        <x:v>The creation of the senate was based on the?</x:v>
      </x:c>
      <x:c r="E634" t="str">
        <x:v>new_old</x:v>
      </x:c>
      <x:c r="F634" t="str">
        <x:v>new_new</x:v>
      </x:c>
      <x:c r="G634" s="34" t="n">
        <x:v>1</x:v>
      </x:c>
      <x:c r="H634" s="34" t="n">
        <x:v>1</x:v>
      </x:c>
      <x:c r="I634" s="34" t="n">
        <x:v>0</x:v>
      </x:c>
      <x:c r="J634" t="str">
        <x:v>unchanged</x:v>
      </x:c>
      <x:c r="K634" t="str">
        <x:v>complete</x:v>
      </x:c>
      <x:c r="L634" t="n">
        <x:v>1</x:v>
      </x:c>
      <x:c r="M634" t="str">
        <x:v>complete</x:v>
      </x:c>
      <x:c r="N634" t="n">
        <x:v>1</x:v>
      </x:c>
    </x:row>
    <x:row r="635">
      <x:c r="A635" t="str">
        <x:v>a2_coverage_new_minus_old_on_new_a1</x:v>
      </x:c>
      <x:c r="B635" t="str">
        <x:v>fact_coverage_ordinal</x:v>
      </x:c>
      <x:c r="C635" t="str">
        <x:f>"qid:3605104154738105404"</x:f>
        <x:v>qid:3605104154738105404</x:v>
      </x:c>
      <x:c r="D635" s="14" t="str">
        <x:v>What episode does jason gideon die in criminal minds?</x:v>
      </x:c>
      <x:c r="E635" t="str">
        <x:v>new_old</x:v>
      </x:c>
      <x:c r="F635" t="str">
        <x:v>new_new</x:v>
      </x:c>
      <x:c r="G635" s="34" t="n">
        <x:v>1</x:v>
      </x:c>
      <x:c r="H635" s="34" t="n">
        <x:v>1</x:v>
      </x:c>
      <x:c r="I635" s="34" t="n">
        <x:v>0</x:v>
      </x:c>
      <x:c r="J635" t="str">
        <x:v>unchanged</x:v>
      </x:c>
      <x:c r="K635" t="str">
        <x:v>complete</x:v>
      </x:c>
      <x:c r="L635" t="n">
        <x:v>1</x:v>
      </x:c>
      <x:c r="M635" t="str">
        <x:v>complete</x:v>
      </x:c>
      <x:c r="N635" t="n">
        <x:v>1</x:v>
      </x:c>
    </x:row>
    <x:row r="636">
      <x:c r="A636" t="str">
        <x:v>a2_coverage_new_minus_old_on_new_a1</x:v>
      </x:c>
      <x:c r="B636" t="str">
        <x:v>fact_coverage_ordinal</x:v>
      </x:c>
      <x:c r="C636" t="str">
        <x:f>"qid:3643093465010420057"</x:f>
        <x:v>qid:3643093465010420057</x:v>
      </x:c>
      <x:c r="D636" s="14" t="str">
        <x:v>What city in texas has the highest elevation?</x:v>
      </x:c>
      <x:c r="E636" t="str">
        <x:v>new_old</x:v>
      </x:c>
      <x:c r="F636" t="str">
        <x:v>new_new</x:v>
      </x:c>
      <x:c r="G636" s="34" t="n">
        <x:v>1</x:v>
      </x:c>
      <x:c r="H636" s="34" t="n">
        <x:v>1</x:v>
      </x:c>
      <x:c r="I636" s="34" t="n">
        <x:v>0</x:v>
      </x:c>
      <x:c r="J636" t="str">
        <x:v>unchanged</x:v>
      </x:c>
      <x:c r="K636" t="str">
        <x:v>complete</x:v>
      </x:c>
      <x:c r="L636" t="n">
        <x:v>1</x:v>
      </x:c>
      <x:c r="M636" t="str">
        <x:v>complete</x:v>
      </x:c>
      <x:c r="N636" t="n">
        <x:v>1</x:v>
      </x:c>
    </x:row>
    <x:row r="637">
      <x:c r="A637" t="str">
        <x:v>a2_coverage_new_minus_old_on_new_a1</x:v>
      </x:c>
      <x:c r="B637" t="str">
        <x:v>fact_coverage_ordinal</x:v>
      </x:c>
      <x:c r="C637" t="str">
        <x:f>"qid:4150448921344430432"</x:f>
        <x:v>qid:4150448921344430432</x:v>
      </x:c>
      <x:c r="D637" s="14" t="str">
        <x:v>Who were the original twins in everybody loves raymond?</x:v>
      </x:c>
      <x:c r="E637" t="str">
        <x:v>new_old</x:v>
      </x:c>
      <x:c r="F637" t="str">
        <x:v>new_new</x:v>
      </x:c>
      <x:c r="G637" s="34" t="n">
        <x:v>1</x:v>
      </x:c>
      <x:c r="H637" s="34" t="n">
        <x:v>1</x:v>
      </x:c>
      <x:c r="I637" s="34" t="n">
        <x:v>0</x:v>
      </x:c>
      <x:c r="J637" t="str">
        <x:v>unchanged</x:v>
      </x:c>
      <x:c r="K637" t="str">
        <x:v>complete</x:v>
      </x:c>
      <x:c r="L637" t="n">
        <x:v>1</x:v>
      </x:c>
      <x:c r="M637" t="str">
        <x:v>complete</x:v>
      </x:c>
      <x:c r="N637" t="n">
        <x:v>1</x:v>
      </x:c>
    </x:row>
    <x:row r="638">
      <x:c r="A638" t="str">
        <x:v>a2_coverage_new_minus_old_on_new_a1</x:v>
      </x:c>
      <x:c r="B638" t="str">
        <x:v>fact_coverage_ordinal</x:v>
      </x:c>
      <x:c r="C638" t="str">
        <x:f>"qid:4183252176965080529"</x:f>
        <x:v>qid:4183252176965080529</x:v>
      </x:c>
      <x:c r="D638" s="14" t="str">
        <x:v>When does the new independence day come out?</x:v>
      </x:c>
      <x:c r="E638" t="str">
        <x:v>new_old</x:v>
      </x:c>
      <x:c r="F638" t="str">
        <x:v>new_new</x:v>
      </x:c>
      <x:c r="G638" s="34" t="n">
        <x:v>0.5</x:v>
      </x:c>
      <x:c r="H638" s="34" t="n">
        <x:v>0.5</x:v>
      </x:c>
      <x:c r="I638" s="34" t="n">
        <x:v>0</x:v>
      </x:c>
      <x:c r="J638" t="str">
        <x:v>unchanged</x:v>
      </x:c>
      <x:c r="K638" t="str">
        <x:v>partial</x:v>
      </x:c>
      <x:c r="L638" t="n">
        <x:v>1</x:v>
      </x:c>
      <x:c r="M638" t="str">
        <x:v>partial</x:v>
      </x:c>
      <x:c r="N638" t="n">
        <x:v>1</x:v>
      </x:c>
    </x:row>
    <x:row r="639">
      <x:c r="A639" t="str">
        <x:v>a2_coverage_new_minus_old_on_new_a1</x:v>
      </x:c>
      <x:c r="B639" t="str">
        <x:v>fact_coverage_ordinal</x:v>
      </x:c>
      <x:c r="C639" t="str">
        <x:f>"qid:4474597907223412132"</x:f>
        <x:v>qid:4474597907223412132</x:v>
      </x:c>
      <x:c r="D639" s="14" t="str">
        <x:v>Who were the two astronauts who stayed a year on the iss?</x:v>
      </x:c>
      <x:c r="E639" t="str">
        <x:v>new_old</x:v>
      </x:c>
      <x:c r="F639" t="str">
        <x:v>new_new</x:v>
      </x:c>
      <x:c r="G639" s="34" t="n">
        <x:v>1</x:v>
      </x:c>
      <x:c r="H639" s="34" t="n">
        <x:v>1</x:v>
      </x:c>
      <x:c r="I639" s="34" t="n">
        <x:v>0</x:v>
      </x:c>
      <x:c r="J639" t="str">
        <x:v>unchanged</x:v>
      </x:c>
      <x:c r="K639" t="str">
        <x:v>complete</x:v>
      </x:c>
      <x:c r="L639" t="n">
        <x:v>1</x:v>
      </x:c>
      <x:c r="M639" t="str">
        <x:v>complete</x:v>
      </x:c>
      <x:c r="N639" t="n">
        <x:v>1</x:v>
      </x:c>
    </x:row>
    <x:row r="640">
      <x:c r="A640" t="str">
        <x:v>a2_coverage_new_minus_old_on_new_a1</x:v>
      </x:c>
      <x:c r="B640" t="str">
        <x:v>fact_coverage_ordinal</x:v>
      </x:c>
      <x:c r="C640" t="str">
        <x:f>"qid:586233275728240023"</x:f>
        <x:v>qid:586233275728240023</x:v>
      </x:c>
      <x:c r="D640" s="14" t="str">
        <x:v>What is the os of samsung smart tv?</x:v>
      </x:c>
      <x:c r="E640" t="str">
        <x:v>new_old</x:v>
      </x:c>
      <x:c r="F640" t="str">
        <x:v>new_new</x:v>
      </x:c>
      <x:c r="G640" s="34" t="n">
        <x:v>1</x:v>
      </x:c>
      <x:c r="H640" s="34" t="n">
        <x:v>1</x:v>
      </x:c>
      <x:c r="I640" s="34" t="n">
        <x:v>0</x:v>
      </x:c>
      <x:c r="J640" t="str">
        <x:v>unchanged</x:v>
      </x:c>
      <x:c r="K640" t="str">
        <x:v>complete</x:v>
      </x:c>
      <x:c r="L640" t="n">
        <x:v>1</x:v>
      </x:c>
      <x:c r="M640" t="str">
        <x:v>complete</x:v>
      </x:c>
      <x:c r="N640" t="n">
        <x:v>1</x:v>
      </x:c>
    </x:row>
    <x:row r="641">
      <x:c r="A641" t="str">
        <x:v>a2_coverage_new_minus_old_on_new_a1</x:v>
      </x:c>
      <x:c r="B641" t="str">
        <x:v>fact_coverage_ordinal</x:v>
      </x:c>
      <x:c r="C641" t="str">
        <x:f>"qid:6257465985316109835"</x:f>
        <x:v>qid:6257465985316109835</x:v>
      </x:c>
      <x:c r="D641" s="14" t="str">
        <x:v>Who is the main character in liv and maddie?</x:v>
      </x:c>
      <x:c r="E641" t="str">
        <x:v>new_old</x:v>
      </x:c>
      <x:c r="F641" t="str">
        <x:v>new_new</x:v>
      </x:c>
      <x:c r="G641" s="34" t="n">
        <x:v>1</x:v>
      </x:c>
      <x:c r="H641" s="34" t="n">
        <x:v>1</x:v>
      </x:c>
      <x:c r="I641" s="34" t="n">
        <x:v>0</x:v>
      </x:c>
      <x:c r="J641" t="str">
        <x:v>unchanged</x:v>
      </x:c>
      <x:c r="K641" t="str">
        <x:v>complete</x:v>
      </x:c>
      <x:c r="L641" t="n">
        <x:v>1</x:v>
      </x:c>
      <x:c r="M641" t="str">
        <x:v>complete</x:v>
      </x:c>
      <x:c r="N641" t="n">
        <x:v>1</x:v>
      </x:c>
    </x:row>
    <x:row r="642">
      <x:c r="A642" t="str">
        <x:v>a2_coverage_new_minus_old_on_new_a1</x:v>
      </x:c>
      <x:c r="B642" t="str">
        <x:v>fact_coverage_ordinal</x:v>
      </x:c>
      <x:c r="C642" t="str">
        <x:f>"qid:6514531923811923780"</x:f>
        <x:v>qid:6514531923811923780</x:v>
      </x:c>
      <x:c r="D642" s="14" t="str">
        <x:v>When does disney's food and wine festival end?</x:v>
      </x:c>
      <x:c r="E642" t="str">
        <x:v>new_old</x:v>
      </x:c>
      <x:c r="F642" t="str">
        <x:v>new_new</x:v>
      </x:c>
      <x:c r="G642" s="34" t="n">
        <x:v>0.5</x:v>
      </x:c>
      <x:c r="H642" s="34" t="n">
        <x:v>0.5</x:v>
      </x:c>
      <x:c r="I642" s="34" t="n">
        <x:v>0</x:v>
      </x:c>
      <x:c r="J642" t="str">
        <x:v>unchanged</x:v>
      </x:c>
      <x:c r="K642" t="str">
        <x:v>partial</x:v>
      </x:c>
      <x:c r="L642" t="n">
        <x:v>1</x:v>
      </x:c>
      <x:c r="M642" t="str">
        <x:v>partial</x:v>
      </x:c>
      <x:c r="N642" t="n">
        <x:v>1</x:v>
      </x:c>
    </x:row>
    <x:row r="643">
      <x:c r="A643" t="str">
        <x:v>a2_coverage_new_minus_old_on_new_a1</x:v>
      </x:c>
      <x:c r="B643" t="str">
        <x:v>fact_coverage_ordinal</x:v>
      </x:c>
      <x:c r="C643" t="str">
        <x:f>"qid:6776234528515962047"</x:f>
        <x:v>qid:6776234528515962047</x:v>
      </x:c>
      <x:c r="D643" s="14" t="str">
        <x:v>Who is the most run in cricket history?</x:v>
      </x:c>
      <x:c r="E643" t="str">
        <x:v>new_old</x:v>
      </x:c>
      <x:c r="F643" t="str">
        <x:v>new_new</x:v>
      </x:c>
      <x:c r="G643" s="34" t="n">
        <x:v>1</x:v>
      </x:c>
      <x:c r="H643" s="34" t="n">
        <x:v>1</x:v>
      </x:c>
      <x:c r="I643" s="34" t="n">
        <x:v>0</x:v>
      </x:c>
      <x:c r="J643" t="str">
        <x:v>unchanged</x:v>
      </x:c>
      <x:c r="K643" t="str">
        <x:v>complete</x:v>
      </x:c>
      <x:c r="L643" t="n">
        <x:v>1</x:v>
      </x:c>
      <x:c r="M643" t="str">
        <x:v>complete</x:v>
      </x:c>
      <x:c r="N643" t="n">
        <x:v>1</x:v>
      </x:c>
    </x:row>
    <x:row r="644">
      <x:c r="A644" t="str">
        <x:v>a2_coverage_new_minus_old_on_new_a1</x:v>
      </x:c>
      <x:c r="B644" t="str">
        <x:v>fact_coverage_ordinal</x:v>
      </x:c>
      <x:c r="C644" t="str">
        <x:f>"qid:6962706727076805207"</x:f>
        <x:v>qid:6962706727076805207</x:v>
      </x:c>
      <x:c r="D644" s="14" t="str">
        <x:v>What kind of car in to catch a thief?</x:v>
      </x:c>
      <x:c r="E644" t="str">
        <x:v>new_old</x:v>
      </x:c>
      <x:c r="F644" t="str">
        <x:v>new_new</x:v>
      </x:c>
      <x:c r="G644" s="34" t="n">
        <x:v>0.5</x:v>
      </x:c>
      <x:c r="H644" s="34" t="n">
        <x:v>0.5</x:v>
      </x:c>
      <x:c r="I644" s="34" t="n">
        <x:v>0</x:v>
      </x:c>
      <x:c r="J644" t="str">
        <x:v>unchanged</x:v>
      </x:c>
      <x:c r="K644" t="str">
        <x:v>partial</x:v>
      </x:c>
      <x:c r="L644" t="n">
        <x:v>1</x:v>
      </x:c>
      <x:c r="M644" t="str">
        <x:v>partial</x:v>
      </x:c>
      <x:c r="N644" t="n">
        <x:v>1</x:v>
      </x:c>
    </x:row>
    <x:row r="645">
      <x:c r="A645" t="str">
        <x:v>a2_coverage_new_minus_old_on_new_a1</x:v>
      </x:c>
      <x:c r="B645" t="str">
        <x:v>fact_coverage_ordinal</x:v>
      </x:c>
      <x:c r="C645" t="str">
        <x:f>"qid:7150599999316106461"</x:f>
        <x:v>qid:7150599999316106461</x:v>
      </x:c>
      <x:c r="D645" s="14" t="str">
        <x:v>Who was the first singing brothers in the hall of fame?</x:v>
      </x:c>
      <x:c r="E645" t="str">
        <x:v>new_old</x:v>
      </x:c>
      <x:c r="F645" t="str">
        <x:v>new_new</x:v>
      </x:c>
      <x:c r="G645" s="34" t="n">
        <x:v>1</x:v>
      </x:c>
      <x:c r="H645" s="34" t="n">
        <x:v>1</x:v>
      </x:c>
      <x:c r="I645" s="34" t="n">
        <x:v>0</x:v>
      </x:c>
      <x:c r="J645" t="str">
        <x:v>unchanged</x:v>
      </x:c>
      <x:c r="K645" t="str">
        <x:v>complete</x:v>
      </x:c>
      <x:c r="L645" t="n">
        <x:v>1</x:v>
      </x:c>
      <x:c r="M645" t="str">
        <x:v>complete</x:v>
      </x:c>
      <x:c r="N645" t="n">
        <x:v>1</x:v>
      </x:c>
    </x:row>
    <x:row r="646">
      <x:c r="A646" t="str">
        <x:v>a2_coverage_new_minus_old_on_new_a1</x:v>
      </x:c>
      <x:c r="B646" t="str">
        <x:v>fact_coverage_ordinal</x:v>
      </x:c>
      <x:c r="C646" t="str">
        <x:f>"qid:732619765350082410"</x:f>
        <x:v>qid:732619765350082410</x:v>
      </x:c>
      <x:c r="D646" s="14" t="str">
        <x:v>When did toronto host the mlb all-star game?</x:v>
      </x:c>
      <x:c r="E646" t="str">
        <x:v>new_old</x:v>
      </x:c>
      <x:c r="F646" t="str">
        <x:v>new_new</x:v>
      </x:c>
      <x:c r="G646" s="34" t="n">
        <x:v>1</x:v>
      </x:c>
      <x:c r="H646" s="34" t="n">
        <x:v>1</x:v>
      </x:c>
      <x:c r="I646" s="34" t="n">
        <x:v>0</x:v>
      </x:c>
      <x:c r="J646" t="str">
        <x:v>unchanged</x:v>
      </x:c>
      <x:c r="K646" t="str">
        <x:v>complete</x:v>
      </x:c>
      <x:c r="L646" t="n">
        <x:v>1</x:v>
      </x:c>
      <x:c r="M646" t="str">
        <x:v>complete</x:v>
      </x:c>
      <x:c r="N646" t="n">
        <x:v>1</x:v>
      </x:c>
    </x:row>
    <x:row r="647">
      <x:c r="A647" t="str">
        <x:v>a2_coverage_new_minus_old_on_new_a1</x:v>
      </x:c>
      <x:c r="B647" t="str">
        <x:v>fact_coverage_ordinal</x:v>
      </x:c>
      <x:c r="C647" t="str">
        <x:f>"qid:743600309736467122"</x:f>
        <x:v>qid:743600309736467122</x:v>
      </x:c>
      <x:c r="D647" s="14" t="str">
        <x:v>When was on the revolutions of the heavenly spheres published?</x:v>
      </x:c>
      <x:c r="E647" t="str">
        <x:v>new_old</x:v>
      </x:c>
      <x:c r="F647" t="str">
        <x:v>new_new</x:v>
      </x:c>
      <x:c r="G647" s="34" t="n">
        <x:v>1</x:v>
      </x:c>
      <x:c r="H647" s="34" t="n">
        <x:v>1</x:v>
      </x:c>
      <x:c r="I647" s="34" t="n">
        <x:v>0</x:v>
      </x:c>
      <x:c r="J647" t="str">
        <x:v>unchanged</x:v>
      </x:c>
      <x:c r="K647" t="str">
        <x:v>complete</x:v>
      </x:c>
      <x:c r="L647" t="n">
        <x:v>1</x:v>
      </x:c>
      <x:c r="M647" t="str">
        <x:v>complete</x:v>
      </x:c>
      <x:c r="N647" t="n">
        <x:v>1</x:v>
      </x:c>
    </x:row>
    <x:row r="648">
      <x:c r="A648" t="str">
        <x:v>a2_coverage_new_minus_old_on_new_a1</x:v>
      </x:c>
      <x:c r="B648" t="str">
        <x:v>fact_coverage_ordinal</x:v>
      </x:c>
      <x:c r="C648" t="str">
        <x:f>"qid:7494804303418493420"</x:f>
        <x:v>qid:7494804303418493420</x:v>
      </x:c>
      <x:c r="D648" s="14" t="str">
        <x:v>Movie with the song sunshine on my shoulders?</x:v>
      </x:c>
      <x:c r="E648" t="str">
        <x:v>new_old</x:v>
      </x:c>
      <x:c r="F648" t="str">
        <x:v>new_new</x:v>
      </x:c>
      <x:c r="G648" s="34" t="n">
        <x:v>1</x:v>
      </x:c>
      <x:c r="H648" s="34" t="n">
        <x:v>1</x:v>
      </x:c>
      <x:c r="I648" s="34" t="n">
        <x:v>0</x:v>
      </x:c>
      <x:c r="J648" t="str">
        <x:v>unchanged</x:v>
      </x:c>
      <x:c r="K648" t="str">
        <x:v>complete</x:v>
      </x:c>
      <x:c r="L648" t="n">
        <x:v>1</x:v>
      </x:c>
      <x:c r="M648" t="str">
        <x:v>complete</x:v>
      </x:c>
      <x:c r="N648" t="n">
        <x:v>1</x:v>
      </x:c>
    </x:row>
    <x:row r="649">
      <x:c r="A649" t="str">
        <x:v>a2_coverage_new_minus_old_on_new_a1</x:v>
      </x:c>
      <x:c r="B649" t="str">
        <x:v>fact_coverage_ordinal</x:v>
      </x:c>
      <x:c r="C649" t="str">
        <x:f>"qid:7797208395147217894"</x:f>
        <x:v>qid:7797208395147217894</x:v>
      </x:c>
      <x:c r="D649" s="14" t="str">
        <x:v>When did west germany win the world cup?</x:v>
      </x:c>
      <x:c r="E649" t="str">
        <x:v>new_old</x:v>
      </x:c>
      <x:c r="F649" t="str">
        <x:v>new_new</x:v>
      </x:c>
      <x:c r="G649" s="34" t="n">
        <x:v>1</x:v>
      </x:c>
      <x:c r="H649" s="34" t="n">
        <x:v>1</x:v>
      </x:c>
      <x:c r="I649" s="34" t="n">
        <x:v>0</x:v>
      </x:c>
      <x:c r="J649" t="str">
        <x:v>unchanged</x:v>
      </x:c>
      <x:c r="K649" t="str">
        <x:v>complete</x:v>
      </x:c>
      <x:c r="L649" t="n">
        <x:v>1</x:v>
      </x:c>
      <x:c r="M649" t="str">
        <x:v>complete</x:v>
      </x:c>
      <x:c r="N649" t="n">
        <x:v>1</x:v>
      </x:c>
    </x:row>
    <x:row r="650">
      <x:c r="A650" t="str">
        <x:v>a2_coverage_new_minus_old_on_new_a1</x:v>
      </x:c>
      <x:c r="B650" t="str">
        <x:v>fact_coverage_ordinal</x:v>
      </x:c>
      <x:c r="C650" t="str">
        <x:f>"qid:8433533625736230886"</x:f>
        <x:v>qid:8433533625736230886</x:v>
      </x:c>
      <x:c r="D650" s="14" t="str">
        <x:v>Who has won the most trophies man utd or liverpool?</x:v>
      </x:c>
      <x:c r="E650" t="str">
        <x:v>new_old</x:v>
      </x:c>
      <x:c r="F650" t="str">
        <x:v>new_new</x:v>
      </x:c>
      <x:c r="G650" s="34" t="n">
        <x:v>1</x:v>
      </x:c>
      <x:c r="H650" s="34" t="n">
        <x:v>1</x:v>
      </x:c>
      <x:c r="I650" s="34" t="n">
        <x:v>0</x:v>
      </x:c>
      <x:c r="J650" t="str">
        <x:v>unchanged</x:v>
      </x:c>
      <x:c r="K650" t="str">
        <x:v>complete</x:v>
      </x:c>
      <x:c r="L650" t="n">
        <x:v>1</x:v>
      </x:c>
      <x:c r="M650" t="str">
        <x:v>complete</x:v>
      </x:c>
      <x:c r="N650" t="n">
        <x:v>1</x:v>
      </x:c>
    </x:row>
    <x:row r="651">
      <x:c r="A651" t="str">
        <x:v>a2_coverage_new_minus_old_on_new_a1</x:v>
      </x:c>
      <x:c r="B651" t="str">
        <x:v>fact_coverage_ordinal</x:v>
      </x:c>
      <x:c r="C651" t="str">
        <x:f>"qid:8686216144939155905"</x:f>
        <x:v>qid:8686216144939155905</x:v>
      </x:c>
      <x:c r="D651" s="14" t="str">
        <x:v>What is the name of the time zone for london?</x:v>
      </x:c>
      <x:c r="E651" t="str">
        <x:v>new_old</x:v>
      </x:c>
      <x:c r="F651" t="str">
        <x:v>new_new</x:v>
      </x:c>
      <x:c r="G651" s="34" t="n">
        <x:v>1</x:v>
      </x:c>
      <x:c r="H651" s="34" t="n">
        <x:v>1</x:v>
      </x:c>
      <x:c r="I651" s="34" t="n">
        <x:v>0</x:v>
      </x:c>
      <x:c r="J651" t="str">
        <x:v>unchanged</x:v>
      </x:c>
      <x:c r="K651" t="str">
        <x:v>complete</x:v>
      </x:c>
      <x:c r="L651" t="n">
        <x:v>1</x:v>
      </x:c>
      <x:c r="M651" t="str">
        <x:v>complete</x:v>
      </x:c>
      <x:c r="N651" t="n">
        <x:v>1</x:v>
      </x:c>
    </x:row>
    <x:row r="652">
      <x:c r="A652" t="str">
        <x:v>a2_coverage_new_minus_old_on_new_a1</x:v>
      </x:c>
      <x:c r="B652" t="str">
        <x:v>fact_coverage_ordinal</x:v>
      </x:c>
      <x:c r="C652" t="str">
        <x:f>"qid:87005427005915954"</x:f>
        <x:v>qid:87005427005915954</x:v>
      </x:c>
      <x:c r="D652" s="14" t="str">
        <x:v>When was the last time galway won the hurling all ireland?</x:v>
      </x:c>
      <x:c r="E652" t="str">
        <x:v>new_old</x:v>
      </x:c>
      <x:c r="F652" t="str">
        <x:v>new_new</x:v>
      </x:c>
      <x:c r="G652" s="34" t="n">
        <x:v>1</x:v>
      </x:c>
      <x:c r="H652" s="34" t="n">
        <x:v>1</x:v>
      </x:c>
      <x:c r="I652" s="34" t="n">
        <x:v>0</x:v>
      </x:c>
      <x:c r="J652" t="str">
        <x:v>unchanged</x:v>
      </x:c>
      <x:c r="K652" t="str">
        <x:v>complete</x:v>
      </x:c>
      <x:c r="L652" t="n">
        <x:v>1</x:v>
      </x:c>
      <x:c r="M652" t="str">
        <x:v>complete</x:v>
      </x:c>
      <x:c r="N652" t="n">
        <x:v>1</x:v>
      </x:c>
    </x:row>
  </x:sheetData>
  <x:conditionalFormatting sqref="J2:J652">
    <x:cfRule type="containsText" dxfId="0" priority="1" operator="containsText" text="improved"/>
    <x:cfRule type="containsText" dxfId="1" priority="2" operator="containsText" text="regressed"/>
  </x:conditionalFormatting>
  <x:pageMargins left="0.7" right="0.7" top="0.75" bottom="0.75" header="0.3" footer="0.3"/>
  <x:tableParts count="1">
    <x:tablePart xmlns:r="http://schemas.openxmlformats.org/officeDocument/2006/relationships" r:id="Rad54fd581dd242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8" hidden="0" customWidth="1"/>
  </x:cols>
  <x:sheetData>
    <x:row r="1" ht="28" customHeight="1">
      <x:c r="A1" s="31" t="str">
        <x:v>unit_type</x:v>
      </x:c>
      <x:c r="B1" s="32" t="str">
        <x:v>arm</x:v>
      </x:c>
      <x:c r="C1" s="32" t="str">
        <x:v>error_type</x:v>
      </x:c>
      <x:c r="D1" s="32" t="str">
        <x:v>error_rows</x:v>
      </x:c>
      <x:c r="E1" s="32" t="str">
        <x:v>all_rows_in_arm_unit</x:v>
      </x:c>
      <x:c r="F1" s="32" t="str">
        <x:v>error_row_rate</x:v>
      </x:c>
      <x:c r="G1" s="32" t="str">
        <x:v>rows_with_any_error</x:v>
      </x:c>
      <x:c r="H1" s="32" t="str">
        <x:v>any_error_rate</x:v>
      </x:c>
      <x:c r="I1" s="33" t="str">
        <x:v>taxonomy_note</x:v>
      </x:c>
    </x:row>
    <x:row r="2">
      <x:c r="A2" t="str">
        <x:v>a1_sentence</x:v>
      </x:c>
      <x:c r="B2" t="str">
        <x:v>new</x:v>
      </x:c>
      <x:c r="C2" t="str">
        <x:v>citation_only</x:v>
      </x:c>
      <x:c r="D2" t="n">
        <x:v>6</x:v>
      </x:c>
      <x:c r="E2" t="n">
        <x:v>60</x:v>
      </x:c>
      <x:c r="F2" s="34" t="n">
        <x:v>0.1</x:v>
      </x:c>
      <x:c r="G2" t="n">
        <x:v>15</x:v>
      </x:c>
      <x:c r="H2" s="34" t="n">
        <x:v>0.25</x:v>
      </x:c>
      <x:c r="I2" s="14" t="str">
        <x:v>multi-label; one row may contribute to several types</x:v>
      </x:c>
    </x:row>
    <x:row r="3">
      <x:c r="A3" t="str">
        <x:v>a1_sentence</x:v>
      </x:c>
      <x:c r="B3" t="str">
        <x:v>new</x:v>
      </x:c>
      <x:c r="C3" t="str">
        <x:v>meta_nonclaim</x:v>
      </x:c>
      <x:c r="D3" t="n">
        <x:v>7</x:v>
      </x:c>
      <x:c r="E3" t="n">
        <x:v>60</x:v>
      </x:c>
      <x:c r="F3" s="34" t="n">
        <x:v>0.11666666666666667</x:v>
      </x:c>
      <x:c r="G3" t="n">
        <x:v>15</x:v>
      </x:c>
      <x:c r="H3" s="34" t="n">
        <x:v>0.25</x:v>
      </x:c>
      <x:c r="I3" s="14" t="str">
        <x:v>multi-label; one row may contribute to several types</x:v>
      </x:c>
    </x:row>
    <x:row r="4">
      <x:c r="A4" t="str">
        <x:v>a1_sentence</x:v>
      </x:c>
      <x:c r="B4" t="str">
        <x:v>new</x:v>
      </x:c>
      <x:c r="C4" t="str">
        <x:v>multi_fact</x:v>
      </x:c>
      <x:c r="D4" t="n">
        <x:v>2</x:v>
      </x:c>
      <x:c r="E4" t="n">
        <x:v>60</x:v>
      </x:c>
      <x:c r="F4" s="34" t="n">
        <x:v>0.03333333333333333</x:v>
      </x:c>
      <x:c r="G4" t="n">
        <x:v>15</x:v>
      </x:c>
      <x:c r="H4" s="34" t="n">
        <x:v>0.25</x:v>
      </x:c>
      <x:c r="I4" s="14" t="str">
        <x:v>multi-label; one row may contribute to several types</x:v>
      </x:c>
    </x:row>
    <x:row r="5">
      <x:c r="A5" t="str">
        <x:v>a1_sentence</x:v>
      </x:c>
      <x:c r="B5" t="str">
        <x:v>old</x:v>
      </x:c>
      <x:c r="C5" t="str">
        <x:v>citation_only</x:v>
      </x:c>
      <x:c r="D5" t="n">
        <x:v>23</x:v>
      </x:c>
      <x:c r="E5" t="n">
        <x:v>103</x:v>
      </x:c>
      <x:c r="F5" s="34" t="n">
        <x:v>0.22330097087378642</x:v>
      </x:c>
      <x:c r="G5" t="n">
        <x:v>58</x:v>
      </x:c>
      <x:c r="H5" s="34" t="n">
        <x:v>0.5631067961165048</x:v>
      </x:c>
      <x:c r="I5" s="14" t="str">
        <x:v>multi-label; one row may contribute to several types</x:v>
      </x:c>
    </x:row>
    <x:row r="6">
      <x:c r="A6" t="str">
        <x:v>a1_sentence</x:v>
      </x:c>
      <x:c r="B6" t="str">
        <x:v>old</x:v>
      </x:c>
      <x:c r="C6" t="str">
        <x:v>meta_nonclaim</x:v>
      </x:c>
      <x:c r="D6" t="n">
        <x:v>15</x:v>
      </x:c>
      <x:c r="E6" t="n">
        <x:v>103</x:v>
      </x:c>
      <x:c r="F6" s="34" t="n">
        <x:v>0.14563106796116504</x:v>
      </x:c>
      <x:c r="G6" t="n">
        <x:v>58</x:v>
      </x:c>
      <x:c r="H6" s="34" t="n">
        <x:v>0.5631067961165048</x:v>
      </x:c>
      <x:c r="I6" s="14" t="str">
        <x:v>multi-label; one row may contribute to several types</x:v>
      </x:c>
    </x:row>
    <x:row r="7">
      <x:c r="A7" t="str">
        <x:v>a1_sentence</x:v>
      </x:c>
      <x:c r="B7" t="str">
        <x:v>old</x:v>
      </x:c>
      <x:c r="C7" t="str">
        <x:v>multi_fact</x:v>
      </x:c>
      <x:c r="D7" t="n">
        <x:v>9</x:v>
      </x:c>
      <x:c r="E7" t="n">
        <x:v>103</x:v>
      </x:c>
      <x:c r="F7" s="34" t="n">
        <x:v>0.08737864077669903</x:v>
      </x:c>
      <x:c r="G7" t="n">
        <x:v>58</x:v>
      </x:c>
      <x:c r="H7" s="34" t="n">
        <x:v>0.5631067961165048</x:v>
      </x:c>
      <x:c r="I7" s="14" t="str">
        <x:v>multi-label; one row may contribute to several types</x:v>
      </x:c>
    </x:row>
    <x:row r="8">
      <x:c r="A8" t="str">
        <x:v>a1_sentence</x:v>
      </x:c>
      <x:c r="B8" t="str">
        <x:v>old</x:v>
      </x:c>
      <x:c r="C8" t="str">
        <x:v>unresolved_reference</x:v>
      </x:c>
      <x:c r="D8" t="n">
        <x:v>15</x:v>
      </x:c>
      <x:c r="E8" t="n">
        <x:v>103</x:v>
      </x:c>
      <x:c r="F8" s="34" t="n">
        <x:v>0.14563106796116504</x:v>
      </x:c>
      <x:c r="G8" t="n">
        <x:v>58</x:v>
      </x:c>
      <x:c r="H8" s="34" t="n">
        <x:v>0.5631067961165048</x:v>
      </x:c>
      <x:c r="I8" s="14" t="str">
        <x:v>multi-label; one row may contribute to several types</x:v>
      </x:c>
    </x:row>
    <x:row r="9">
      <x:c r="A9" t="str">
        <x:v>a1_sentence</x:v>
      </x:c>
      <x:c r="B9" t="str">
        <x:v>old</x:v>
      </x:c>
      <x:c r="C9" t="str">
        <x:v>vague_unverifiable</x:v>
      </x:c>
      <x:c r="D9" t="n">
        <x:v>2</x:v>
      </x:c>
      <x:c r="E9" t="n">
        <x:v>103</x:v>
      </x:c>
      <x:c r="F9" s="34" t="n">
        <x:v>0.019417475728155338</x:v>
      </x:c>
      <x:c r="G9" t="n">
        <x:v>58</x:v>
      </x:c>
      <x:c r="H9" s="34" t="n">
        <x:v>0.5631067961165048</x:v>
      </x:c>
      <x:c r="I9" s="14" t="str">
        <x:v>multi-label; one row may contribute to several types</x:v>
      </x:c>
    </x:row>
    <x:row r="10">
      <x:c r="A10" t="str">
        <x:v>a2_case</x:v>
      </x:c>
      <x:c r="B10" t="str">
        <x:v>new_new</x:v>
      </x:c>
      <x:c r="C10" t="str">
        <x:v>fact_omission</x:v>
      </x:c>
      <x:c r="D10" t="n">
        <x:v>6</x:v>
      </x:c>
      <x:c r="E10" t="n">
        <x:v>50</x:v>
      </x:c>
      <x:c r="F10" s="34" t="n">
        <x:v>0.12</x:v>
      </x:c>
      <x:c r="G10" t="n">
        <x:v>6</x:v>
      </x:c>
      <x:c r="H10" s="34" t="n">
        <x:v>0.12</x:v>
      </x:c>
      <x:c r="I10" s="14" t="str">
        <x:v>multi-label; one row may contribute to several types</x:v>
      </x:c>
    </x:row>
    <x:row r="11">
      <x:c r="A11" t="str">
        <x:v>a2_case</x:v>
      </x:c>
      <x:c r="B11" t="str">
        <x:v>new_old</x:v>
      </x:c>
      <x:c r="C11" t="str">
        <x:v>fact_omission</x:v>
      </x:c>
      <x:c r="D11" t="n">
        <x:v>7</x:v>
      </x:c>
      <x:c r="E11" t="n">
        <x:v>50</x:v>
      </x:c>
      <x:c r="F11" s="34" t="n">
        <x:v>0.14</x:v>
      </x:c>
      <x:c r="G11" t="n">
        <x:v>7</x:v>
      </x:c>
      <x:c r="H11" s="34" t="n">
        <x:v>0.14</x:v>
      </x:c>
      <x:c r="I11" s="14" t="str">
        <x:v>multi-label; one row may contribute to several types</x:v>
      </x:c>
    </x:row>
    <x:row r="12">
      <x:c r="A12" t="str">
        <x:v>a2_case</x:v>
      </x:c>
      <x:c r="B12" t="str">
        <x:v>old_new</x:v>
      </x:c>
      <x:c r="C12" t="str">
        <x:v>fact_omission</x:v>
      </x:c>
      <x:c r="D12" t="n">
        <x:v>9</x:v>
      </x:c>
      <x:c r="E12" t="n">
        <x:v>50</x:v>
      </x:c>
      <x:c r="F12" s="34" t="n">
        <x:v>0.18</x:v>
      </x:c>
      <x:c r="G12" t="n">
        <x:v>9</x:v>
      </x:c>
      <x:c r="H12" s="34" t="n">
        <x:v>0.18</x:v>
      </x:c>
      <x:c r="I12" s="14" t="str">
        <x:v>multi-label; one row may contribute to several types</x:v>
      </x:c>
    </x:row>
    <x:row r="13">
      <x:c r="A13" t="str">
        <x:v>a2_case</x:v>
      </x:c>
      <x:c r="B13" t="str">
        <x:v>old_old</x:v>
      </x:c>
      <x:c r="C13" t="str">
        <x:v>fact_omission</x:v>
      </x:c>
      <x:c r="D13" t="n">
        <x:v>12</x:v>
      </x:c>
      <x:c r="E13" t="n">
        <x:v>50</x:v>
      </x:c>
      <x:c r="F13" s="34" t="n">
        <x:v>0.24</x:v>
      </x:c>
      <x:c r="G13" t="n">
        <x:v>12</x:v>
      </x:c>
      <x:c r="H13" s="34" t="n">
        <x:v>0.24</x:v>
      </x:c>
      <x:c r="I13" s="14" t="str">
        <x:v>multi-label; one row may contribute to several types</x:v>
      </x:c>
    </x:row>
    <x:row r="14">
      <x:c r="A14" t="str">
        <x:v>a2_claim</x:v>
      </x:c>
      <x:c r="B14" t="str">
        <x:v>new_new</x:v>
      </x:c>
      <x:c r="C14" t="str">
        <x:v>meaning_changed</x:v>
      </x:c>
      <x:c r="D14" t="n">
        <x:v>16</x:v>
      </x:c>
      <x:c r="E14" t="n">
        <x:v>64</x:v>
      </x:c>
      <x:c r="F14" s="34" t="n">
        <x:v>0.25</x:v>
      </x:c>
      <x:c r="G14" t="n">
        <x:v>18</x:v>
      </x:c>
      <x:c r="H14" s="34" t="n">
        <x:v>0.28125</x:v>
      </x:c>
      <x:c r="I14" s="14" t="str">
        <x:v>multi-label; one row may contribute to several types</x:v>
      </x:c>
    </x:row>
    <x:row r="15">
      <x:c r="A15" t="str">
        <x:v>a2_claim</x:v>
      </x:c>
      <x:c r="B15" t="str">
        <x:v>new_new</x:v>
      </x:c>
      <x:c r="C15" t="str">
        <x:v>meta_nonclaim</x:v>
      </x:c>
      <x:c r="D15" t="n">
        <x:v>2</x:v>
      </x:c>
      <x:c r="E15" t="n">
        <x:v>64</x:v>
      </x:c>
      <x:c r="F15" s="34" t="n">
        <x:v>0.03125</x:v>
      </x:c>
      <x:c r="G15" t="n">
        <x:v>18</x:v>
      </x:c>
      <x:c r="H15" s="34" t="n">
        <x:v>0.28125</x:v>
      </x:c>
      <x:c r="I15" s="14" t="str">
        <x:v>multi-label; one row may contribute to several types</x:v>
      </x:c>
    </x:row>
    <x:row r="16">
      <x:c r="A16" t="str">
        <x:v>a2_claim</x:v>
      </x:c>
      <x:c r="B16" t="str">
        <x:v>new_new</x:v>
      </x:c>
      <x:c r="C16" t="str">
        <x:v>span_misaligned</x:v>
      </x:c>
      <x:c r="D16" t="n">
        <x:v>15</x:v>
      </x:c>
      <x:c r="E16" t="n">
        <x:v>64</x:v>
      </x:c>
      <x:c r="F16" s="34" t="n">
        <x:v>0.234375</x:v>
      </x:c>
      <x:c r="G16" t="n">
        <x:v>18</x:v>
      </x:c>
      <x:c r="H16" s="34" t="n">
        <x:v>0.28125</x:v>
      </x:c>
      <x:c r="I16" s="14" t="str">
        <x:v>multi-label; one row may contribute to several types</x:v>
      </x:c>
    </x:row>
    <x:row r="17">
      <x:c r="A17" t="str">
        <x:v>a2_claim</x:v>
      </x:c>
      <x:c r="B17" t="str">
        <x:v>new_new</x:v>
      </x:c>
      <x:c r="C17" t="str">
        <x:v>unresolved_reference</x:v>
      </x:c>
      <x:c r="D17" t="n">
        <x:v>2</x:v>
      </x:c>
      <x:c r="E17" t="n">
        <x:v>64</x:v>
      </x:c>
      <x:c r="F17" s="34" t="n">
        <x:v>0.03125</x:v>
      </x:c>
      <x:c r="G17" t="n">
        <x:v>18</x:v>
      </x:c>
      <x:c r="H17" s="34" t="n">
        <x:v>0.28125</x:v>
      </x:c>
      <x:c r="I17" s="14" t="str">
        <x:v>multi-label; one row may contribute to several types</x:v>
      </x:c>
    </x:row>
    <x:row r="18">
      <x:c r="A18" t="str">
        <x:v>a2_claim</x:v>
      </x:c>
      <x:c r="B18" t="str">
        <x:v>new_old</x:v>
      </x:c>
      <x:c r="C18" t="str">
        <x:v>meaning_changed</x:v>
      </x:c>
      <x:c r="D18" t="n">
        <x:v>15</x:v>
      </x:c>
      <x:c r="E18" t="n">
        <x:v>61</x:v>
      </x:c>
      <x:c r="F18" s="34" t="n">
        <x:v>0.2459016393442623</x:v>
      </x:c>
      <x:c r="G18" t="n">
        <x:v>17</x:v>
      </x:c>
      <x:c r="H18" s="34" t="n">
        <x:v>0.2786885245901639</x:v>
      </x:c>
      <x:c r="I18" s="14" t="str">
        <x:v>multi-label; one row may contribute to several types</x:v>
      </x:c>
    </x:row>
    <x:row r="19">
      <x:c r="A19" t="str">
        <x:v>a2_claim</x:v>
      </x:c>
      <x:c r="B19" t="str">
        <x:v>new_old</x:v>
      </x:c>
      <x:c r="C19" t="str">
        <x:v>meta_nonclaim</x:v>
      </x:c>
      <x:c r="D19" t="n">
        <x:v>2</x:v>
      </x:c>
      <x:c r="E19" t="n">
        <x:v>61</x:v>
      </x:c>
      <x:c r="F19" s="34" t="n">
        <x:v>0.03278688524590164</x:v>
      </x:c>
      <x:c r="G19" t="n">
        <x:v>17</x:v>
      </x:c>
      <x:c r="H19" s="34" t="n">
        <x:v>0.2786885245901639</x:v>
      </x:c>
      <x:c r="I19" s="14" t="str">
        <x:v>multi-label; one row may contribute to several types</x:v>
      </x:c>
    </x:row>
    <x:row r="20">
      <x:c r="A20" t="str">
        <x:v>a2_claim</x:v>
      </x:c>
      <x:c r="B20" t="str">
        <x:v>new_old</x:v>
      </x:c>
      <x:c r="C20" t="str">
        <x:v>span_misaligned</x:v>
      </x:c>
      <x:c r="D20" t="n">
        <x:v>15</x:v>
      </x:c>
      <x:c r="E20" t="n">
        <x:v>61</x:v>
      </x:c>
      <x:c r="F20" s="34" t="n">
        <x:v>0.2459016393442623</x:v>
      </x:c>
      <x:c r="G20" t="n">
        <x:v>17</x:v>
      </x:c>
      <x:c r="H20" s="34" t="n">
        <x:v>0.2786885245901639</x:v>
      </x:c>
      <x:c r="I20" s="14" t="str">
        <x:v>multi-label; one row may contribute to several types</x:v>
      </x:c>
    </x:row>
    <x:row r="21">
      <x:c r="A21" t="str">
        <x:v>a2_claim</x:v>
      </x:c>
      <x:c r="B21" t="str">
        <x:v>new_old</x:v>
      </x:c>
      <x:c r="C21" t="str">
        <x:v>unresolved_reference</x:v>
      </x:c>
      <x:c r="D21" t="n">
        <x:v>3</x:v>
      </x:c>
      <x:c r="E21" t="n">
        <x:v>61</x:v>
      </x:c>
      <x:c r="F21" s="34" t="n">
        <x:v>0.04918032786885246</x:v>
      </x:c>
      <x:c r="G21" t="n">
        <x:v>17</x:v>
      </x:c>
      <x:c r="H21" s="34" t="n">
        <x:v>0.2786885245901639</x:v>
      </x:c>
      <x:c r="I21" s="14" t="str">
        <x:v>multi-label; one row may contribute to several types</x:v>
      </x:c>
    </x:row>
    <x:row r="22">
      <x:c r="A22" t="str">
        <x:v>a2_claim</x:v>
      </x:c>
      <x:c r="B22" t="str">
        <x:v>old_new</x:v>
      </x:c>
      <x:c r="C22" t="str">
        <x:v>meaning_changed</x:v>
      </x:c>
      <x:c r="D22" t="n">
        <x:v>22</x:v>
      </x:c>
      <x:c r="E22" t="n">
        <x:v>77</x:v>
      </x:c>
      <x:c r="F22" s="34" t="n">
        <x:v>0.2857142857142857</x:v>
      </x:c>
      <x:c r="G22" t="n">
        <x:v>30</x:v>
      </x:c>
      <x:c r="H22" s="34" t="n">
        <x:v>0.38961038961038963</x:v>
      </x:c>
      <x:c r="I22" s="14" t="str">
        <x:v>multi-label; one row may contribute to several types</x:v>
      </x:c>
    </x:row>
    <x:row r="23">
      <x:c r="A23" t="str">
        <x:v>a2_claim</x:v>
      </x:c>
      <x:c r="B23" t="str">
        <x:v>old_new</x:v>
      </x:c>
      <x:c r="C23" t="str">
        <x:v>meta_nonclaim</x:v>
      </x:c>
      <x:c r="D23" t="n">
        <x:v>1</x:v>
      </x:c>
      <x:c r="E23" t="n">
        <x:v>77</x:v>
      </x:c>
      <x:c r="F23" s="34" t="n">
        <x:v>0.012987012987012988</x:v>
      </x:c>
      <x:c r="G23" t="n">
        <x:v>30</x:v>
      </x:c>
      <x:c r="H23" s="34" t="n">
        <x:v>0.38961038961038963</x:v>
      </x:c>
      <x:c r="I23" s="14" t="str">
        <x:v>multi-label; one row may contribute to several types</x:v>
      </x:c>
    </x:row>
    <x:row r="24">
      <x:c r="A24" t="str">
        <x:v>a2_claim</x:v>
      </x:c>
      <x:c r="B24" t="str">
        <x:v>old_new</x:v>
      </x:c>
      <x:c r="C24" t="str">
        <x:v>multi_fact</x:v>
      </x:c>
      <x:c r="D24" t="n">
        <x:v>3</x:v>
      </x:c>
      <x:c r="E24" t="n">
        <x:v>77</x:v>
      </x:c>
      <x:c r="F24" s="34" t="n">
        <x:v>0.03896103896103896</x:v>
      </x:c>
      <x:c r="G24" t="n">
        <x:v>30</x:v>
      </x:c>
      <x:c r="H24" s="34" t="n">
        <x:v>0.38961038961038963</x:v>
      </x:c>
      <x:c r="I24" s="14" t="str">
        <x:v>multi-label; one row may contribute to several types</x:v>
      </x:c>
    </x:row>
    <x:row r="25">
      <x:c r="A25" t="str">
        <x:v>a2_claim</x:v>
      </x:c>
      <x:c r="B25" t="str">
        <x:v>old_new</x:v>
      </x:c>
      <x:c r="C25" t="str">
        <x:v>span_misaligned</x:v>
      </x:c>
      <x:c r="D25" t="n">
        <x:v>21</x:v>
      </x:c>
      <x:c r="E25" t="n">
        <x:v>77</x:v>
      </x:c>
      <x:c r="F25" s="34" t="n">
        <x:v>0.2727272727272727</x:v>
      </x:c>
      <x:c r="G25" t="n">
        <x:v>30</x:v>
      </x:c>
      <x:c r="H25" s="34" t="n">
        <x:v>0.38961038961038963</x:v>
      </x:c>
      <x:c r="I25" s="14" t="str">
        <x:v>multi-label; one row may contribute to several types</x:v>
      </x:c>
    </x:row>
    <x:row r="26">
      <x:c r="A26" t="str">
        <x:v>a2_claim</x:v>
      </x:c>
      <x:c r="B26" t="str">
        <x:v>old_new</x:v>
      </x:c>
      <x:c r="C26" t="str">
        <x:v>unresolved_reference</x:v>
      </x:c>
      <x:c r="D26" t="n">
        <x:v>10</x:v>
      </x:c>
      <x:c r="E26" t="n">
        <x:v>77</x:v>
      </x:c>
      <x:c r="F26" s="34" t="n">
        <x:v>0.12987012987012986</x:v>
      </x:c>
      <x:c r="G26" t="n">
        <x:v>30</x:v>
      </x:c>
      <x:c r="H26" s="34" t="n">
        <x:v>0.38961038961038963</x:v>
      </x:c>
      <x:c r="I26" s="14" t="str">
        <x:v>multi-label; one row may contribute to several types</x:v>
      </x:c>
    </x:row>
    <x:row r="27">
      <x:c r="A27" t="str">
        <x:v>a2_claim</x:v>
      </x:c>
      <x:c r="B27" t="str">
        <x:v>old_old</x:v>
      </x:c>
      <x:c r="C27" t="str">
        <x:v>meaning_changed</x:v>
      </x:c>
      <x:c r="D27" t="n">
        <x:v>24</x:v>
      </x:c>
      <x:c r="E27" t="n">
        <x:v>74</x:v>
      </x:c>
      <x:c r="F27" s="34" t="n">
        <x:v>0.32432432432432434</x:v>
      </x:c>
      <x:c r="G27" t="n">
        <x:v>32</x:v>
      </x:c>
      <x:c r="H27" s="34" t="n">
        <x:v>0.43243243243243246</x:v>
      </x:c>
      <x:c r="I27" s="14" t="str">
        <x:v>multi-label; one row may contribute to several types</x:v>
      </x:c>
    </x:row>
    <x:row r="28">
      <x:c r="A28" t="str">
        <x:v>a2_claim</x:v>
      </x:c>
      <x:c r="B28" t="str">
        <x:v>old_old</x:v>
      </x:c>
      <x:c r="C28" t="str">
        <x:v>meta_nonclaim</x:v>
      </x:c>
      <x:c r="D28" t="n">
        <x:v>1</x:v>
      </x:c>
      <x:c r="E28" t="n">
        <x:v>74</x:v>
      </x:c>
      <x:c r="F28" s="34" t="n">
        <x:v>0.013513513513513514</x:v>
      </x:c>
      <x:c r="G28" t="n">
        <x:v>32</x:v>
      </x:c>
      <x:c r="H28" s="34" t="n">
        <x:v>0.43243243243243246</x:v>
      </x:c>
      <x:c r="I28" s="14" t="str">
        <x:v>multi-label; one row may contribute to several types</x:v>
      </x:c>
    </x:row>
    <x:row r="29">
      <x:c r="A29" t="str">
        <x:v>a2_claim</x:v>
      </x:c>
      <x:c r="B29" t="str">
        <x:v>old_old</x:v>
      </x:c>
      <x:c r="C29" t="str">
        <x:v>multi_fact</x:v>
      </x:c>
      <x:c r="D29" t="n">
        <x:v>2</x:v>
      </x:c>
      <x:c r="E29" t="n">
        <x:v>74</x:v>
      </x:c>
      <x:c r="F29" s="34" t="n">
        <x:v>0.02702702702702703</x:v>
      </x:c>
      <x:c r="G29" t="n">
        <x:v>32</x:v>
      </x:c>
      <x:c r="H29" s="34" t="n">
        <x:v>0.43243243243243246</x:v>
      </x:c>
      <x:c r="I29" s="14" t="str">
        <x:v>multi-label; one row may contribute to several types</x:v>
      </x:c>
    </x:row>
    <x:row r="30">
      <x:c r="A30" t="str">
        <x:v>a2_claim</x:v>
      </x:c>
      <x:c r="B30" t="str">
        <x:v>old_old</x:v>
      </x:c>
      <x:c r="C30" t="str">
        <x:v>span_misaligned</x:v>
      </x:c>
      <x:c r="D30" t="n">
        <x:v>22</x:v>
      </x:c>
      <x:c r="E30" t="n">
        <x:v>74</x:v>
      </x:c>
      <x:c r="F30" s="34" t="n">
        <x:v>0.2972972972972973</x:v>
      </x:c>
      <x:c r="G30" t="n">
        <x:v>32</x:v>
      </x:c>
      <x:c r="H30" s="34" t="n">
        <x:v>0.43243243243243246</x:v>
      </x:c>
      <x:c r="I30" s="14" t="str">
        <x:v>multi-label; one row may contribute to several types</x:v>
      </x:c>
    </x:row>
    <x:row r="31">
      <x:c r="A31" t="str">
        <x:v>a2_claim</x:v>
      </x:c>
      <x:c r="B31" t="str">
        <x:v>old_old</x:v>
      </x:c>
      <x:c r="C31" t="str">
        <x:v>unresolved_reference</x:v>
      </x:c>
      <x:c r="D31" t="n">
        <x:v>9</x:v>
      </x:c>
      <x:c r="E31" t="n">
        <x:v>74</x:v>
      </x:c>
      <x:c r="F31" s="34" t="n">
        <x:v>0.12162162162162163</x:v>
      </x:c>
      <x:c r="G31" t="n">
        <x:v>32</x:v>
      </x:c>
      <x:c r="H31" s="34" t="n">
        <x:v>0.43243243243243246</x:v>
      </x:c>
      <x:c r="I31" s="14" t="str">
        <x:v>multi-label; one row may contribute to several types</x:v>
      </x:c>
    </x:row>
  </x:sheetData>
  <x:pageMargins left="0.7" right="0.7" top="0.75" bottom="0.75" header="0.3" footer="0.3"/>
  <x:tableParts count="1">
    <x:tablePart xmlns:r="http://schemas.openxmlformats.org/officeDocument/2006/relationships" r:id="R8aec23fb913245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48" hidden="0" customWidth="1"/>
    <x:col min="4" max="4" width="22" hidden="0" customWidth="1"/>
    <x:col min="5" max="5" width="62" hidden="0" customWidth="1"/>
    <x:col min="6" max="6" width="6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3" t="str">
        <x:v>Identical visible-input consistency audit</x:v>
      </x:c>
      <x:c r="B1" s="3" t="str">
        <x:v>Identical visible-input consistency audit</x:v>
      </x:c>
      <x:c r="C1" s="3" t="str">
        <x:v>Identical visible-input consistency audit</x:v>
      </x:c>
      <x:c r="D1" s="3" t="str">
        <x:v>Identical visible-input consistency audit</x:v>
      </x:c>
      <x:c r="E1" s="3" t="str">
        <x:v>Identical visible-input consistency audit</x:v>
      </x:c>
      <x:c r="F1" s="3" t="str">
        <x:v>Identical visible-input consistency audit</x:v>
      </x:c>
      <x:c r="G1" s="3" t="str">
        <x:v>Identical visible-input consistency audit</x:v>
      </x:c>
      <x:c r="H1" s="3" t="str">
        <x:v>Identical visible-input consistency audit</x:v>
      </x:c>
      <x:c r="I1" s="3" t="str">
        <x:v>Identical visible-input consistency audit</x:v>
      </x:c>
      <x:c r="J1" s="3" t="str">
        <x:v>Identical visible-input consistency audit</x:v>
      </x:c>
    </x:row>
    <x:row r="2">
      <x:c r="A2" s="37" t="str">
        <x:v>Exact matches on question, claim text, and displayed source span should receive the same label. Disagreements measure single-annotator repeat instability, not an A2 effect.</x:v>
      </x:c>
      <x:c r="B2" s="37" t="str">
        <x:v>Exact matches on question, claim text, and displayed source span should receive the same label. Disagreements measure single-annotator repeat instability, not an A2 effect.</x:v>
      </x:c>
      <x:c r="C2" s="37" t="str">
        <x:v>Exact matches on question, claim text, and displayed source span should receive the same label. Disagreements measure single-annotator repeat instability, not an A2 effect.</x:v>
      </x:c>
      <x:c r="D2" s="37" t="str">
        <x:v>Exact matches on question, claim text, and displayed source span should receive the same label. Disagreements measure single-annotator repeat instability, not an A2 effect.</x:v>
      </x:c>
      <x:c r="E2" s="37" t="str">
        <x:v>Exact matches on question, claim text, and displayed source span should receive the same label. Disagreements measure single-annotator repeat instability, not an A2 effect.</x:v>
      </x:c>
      <x:c r="F2" s="37" t="str">
        <x:v>Exact matches on question, claim text, and displayed source span should receive the same label. Disagreements measure single-annotator repeat instability, not an A2 effect.</x:v>
      </x:c>
      <x:c r="G2" s="37" t="str">
        <x:v>Exact matches on question, claim text, and displayed source span should receive the same label. Disagreements measure single-annotator repeat instability, not an A2 effect.</x:v>
      </x:c>
      <x:c r="H2" s="37" t="str">
        <x:v>Exact matches on question, claim text, and displayed source span should receive the same label. Disagreements measure single-annotator repeat instability, not an A2 effect.</x:v>
      </x:c>
      <x:c r="I2" s="37" t="str">
        <x:v>Exact matches on question, claim text, and displayed source span should receive the same label. Disagreements measure single-annotator repeat instability, not an A2 effect.</x:v>
      </x:c>
      <x:c r="J2" s="37" t="str">
        <x:v>Exact matches on question, claim text, and displayed source span should receive the same label. Disagreements measure single-annotator repeat instability, not an A2 effect.</x:v>
      </x:c>
    </x:row>
    <x:row r="4" ht="28" customHeight="1">
      <x:c r="A4" s="16" t="str">
        <x:v>comparison</x:v>
      </x:c>
      <x:c r="B4" s="38" t="str">
        <x:v>metric</x:v>
      </x:c>
      <x:c r="C4" s="38" t="str">
        <x:v>identical items</x:v>
      </x:c>
      <x:c r="D4" s="38" t="str">
        <x:v>agreements</x:v>
      </x:c>
      <x:c r="E4" s="38" t="str">
        <x:v>disagreements</x:v>
      </x:c>
      <x:c r="F4" s="38" t="str">
        <x:v>agreement rate</x:v>
      </x:c>
      <x:c r="G4" s="39" t="str">
        <x:v>interpretation</x:v>
      </x:c>
    </x:row>
    <x:row r="5">
      <x:c r="A5" s="40" t="str">
        <x:v>a2_new_minus_old_on_old_a1</x:v>
      </x:c>
      <x:c r="B5" s="41" t="str">
        <x:v>atomic</x:v>
      </x:c>
      <x:c r="C5" s="41" t="n">
        <x:v>71</x:v>
      </x:c>
      <x:c r="D5" s="41" t="n">
        <x:v>69</x:v>
      </x:c>
      <x:c r="E5" s="41" t="n">
        <x:v>2</x:v>
      </x:c>
      <x:c r="F5" s="42" t="n">
        <x:v>0.971830985915493</x:v>
      </x:c>
      <x:c r="G5" s="43" t="str">
        <x:v>intra_annotator_duplicate_input_consistency</x:v>
      </x:c>
    </x:row>
    <x:row r="6">
      <x:c r="A6" s="40" t="str">
        <x:v>a2_new_minus_old_on_old_a1</x:v>
      </x:c>
      <x:c r="B6" s="41" t="str">
        <x:v>self_contained</x:v>
      </x:c>
      <x:c r="C6" s="41" t="n">
        <x:v>72</x:v>
      </x:c>
      <x:c r="D6" s="41" t="n">
        <x:v>68</x:v>
      </x:c>
      <x:c r="E6" s="41" t="n">
        <x:v>4</x:v>
      </x:c>
      <x:c r="F6" s="42" t="n">
        <x:v>0.9444444444444444</x:v>
      </x:c>
      <x:c r="G6" s="43" t="str">
        <x:v>intra_annotator_duplicate_input_consistency</x:v>
      </x:c>
    </x:row>
    <x:row r="7">
      <x:c r="A7" s="40" t="str">
        <x:v>a2_new_minus_old_on_old_a1</x:v>
      </x:c>
      <x:c r="B7" s="41" t="str">
        <x:v>span_aligned</x:v>
      </x:c>
      <x:c r="C7" s="41" t="n">
        <x:v>72</x:v>
      </x:c>
      <x:c r="D7" s="41" t="n">
        <x:v>69</x:v>
      </x:c>
      <x:c r="E7" s="41" t="n">
        <x:v>3</x:v>
      </x:c>
      <x:c r="F7" s="42" t="n">
        <x:v>0.9583333333333334</x:v>
      </x:c>
      <x:c r="G7" s="43" t="str">
        <x:v>intra_annotator_duplicate_input_consistency</x:v>
      </x:c>
    </x:row>
    <x:row r="8">
      <x:c r="A8" s="40" t="str">
        <x:v>a2_new_minus_old_on_old_a1</x:v>
      </x:c>
      <x:c r="B8" s="41" t="str">
        <x:v>rewrite_faithful</x:v>
      </x:c>
      <x:c r="C8" s="41" t="n">
        <x:v>72</x:v>
      </x:c>
      <x:c r="D8" s="41" t="n">
        <x:v>68</x:v>
      </x:c>
      <x:c r="E8" s="41" t="n">
        <x:v>4</x:v>
      </x:c>
      <x:c r="F8" s="42" t="n">
        <x:v>0.9444444444444444</x:v>
      </x:c>
      <x:c r="G8" s="43" t="str">
        <x:v>intra_annotator_duplicate_input_consistency</x:v>
      </x:c>
    </x:row>
    <x:row r="9">
      <x:c r="A9" s="40" t="str">
        <x:v>a2_new_minus_old_on_new_a1</x:v>
      </x:c>
      <x:c r="B9" s="41" t="str">
        <x:v>atomic</x:v>
      </x:c>
      <x:c r="C9" s="41" t="n">
        <x:v>59</x:v>
      </x:c>
      <x:c r="D9" s="41" t="n">
        <x:v>59</x:v>
      </x:c>
      <x:c r="E9" s="41" t="n">
        <x:v>0</x:v>
      </x:c>
      <x:c r="F9" s="42" t="n">
        <x:v>1</x:v>
      </x:c>
      <x:c r="G9" s="43" t="str">
        <x:v>intra_annotator_duplicate_input_consistency</x:v>
      </x:c>
    </x:row>
    <x:row r="10">
      <x:c r="A10" s="40" t="str">
        <x:v>a2_new_minus_old_on_new_a1</x:v>
      </x:c>
      <x:c r="B10" s="41" t="str">
        <x:v>self_contained</x:v>
      </x:c>
      <x:c r="C10" s="41" t="n">
        <x:v>61</x:v>
      </x:c>
      <x:c r="D10" s="41" t="n">
        <x:v>60</x:v>
      </x:c>
      <x:c r="E10" s="41" t="n">
        <x:v>1</x:v>
      </x:c>
      <x:c r="F10" s="42" t="n">
        <x:v>0.9836065573770492</x:v>
      </x:c>
      <x:c r="G10" s="43" t="str">
        <x:v>intra_annotator_duplicate_input_consistency</x:v>
      </x:c>
    </x:row>
    <x:row r="11">
      <x:c r="A11" s="40" t="str">
        <x:v>a2_new_minus_old_on_new_a1</x:v>
      </x:c>
      <x:c r="B11" s="41" t="str">
        <x:v>span_aligned</x:v>
      </x:c>
      <x:c r="C11" s="41" t="n">
        <x:v>61</x:v>
      </x:c>
      <x:c r="D11" s="41" t="n">
        <x:v>59</x:v>
      </x:c>
      <x:c r="E11" s="41" t="n">
        <x:v>2</x:v>
      </x:c>
      <x:c r="F11" s="42" t="n">
        <x:v>0.9672131147540983</x:v>
      </x:c>
      <x:c r="G11" s="43" t="str">
        <x:v>intra_annotator_duplicate_input_consistency</x:v>
      </x:c>
    </x:row>
    <x:row r="12">
      <x:c r="A12" s="44" t="str">
        <x:v>a2_new_minus_old_on_new_a1</x:v>
      </x:c>
      <x:c r="B12" s="45" t="str">
        <x:v>rewrite_faithful</x:v>
      </x:c>
      <x:c r="C12" s="45" t="n">
        <x:v>61</x:v>
      </x:c>
      <x:c r="D12" s="45" t="n">
        <x:v>58</x:v>
      </x:c>
      <x:c r="E12" s="45" t="n">
        <x:v>3</x:v>
      </x:c>
      <x:c r="F12" s="46" t="n">
        <x:v>0.9508196721311475</x:v>
      </x:c>
      <x:c r="G12" s="47" t="str">
        <x:v>intra_annotator_duplicate_input_consistency</x:v>
      </x:c>
    </x:row>
    <x:row r="15" ht="28" customHeight="1">
      <x:c r="A15" s="31" t="str">
        <x:v>comparison</x:v>
      </x:c>
      <x:c r="B15" s="32" t="str">
        <x:v>query_id</x:v>
      </x:c>
      <x:c r="C15" s="32" t="str">
        <x:v>question</x:v>
      </x:c>
      <x:c r="D15" s="32" t="str">
        <x:v>metric</x:v>
      </x:c>
      <x:c r="E15" s="32" t="str">
        <x:v>claim_text</x:v>
      </x:c>
      <x:c r="F15" s="32" t="str">
        <x:v>source_span_text</x:v>
      </x:c>
      <x:c r="G15" s="32" t="str">
        <x:v>baseline_label</x:v>
      </x:c>
      <x:c r="H15" s="32" t="str">
        <x:v>treatment_label</x:v>
      </x:c>
      <x:c r="I15" s="32" t="str">
        <x:v>agreement</x:v>
      </x:c>
      <x:c r="J15" s="32" t="str">
        <x:v>baseline_errors</x:v>
      </x:c>
      <x:c r="K15" s="33" t="str">
        <x:v>treatment_errors</x:v>
      </x:c>
    </x:row>
    <x:row r="16">
      <x:c r="A16" t="str">
        <x:v>a2_new_minus_old_on_old_a1</x:v>
      </x:c>
      <x:c r="B16" t="str">
        <x:f>"qid:-1062522255440685408"</x:f>
        <x:v>qid:-1062522255440685408</x:v>
      </x:c>
      <x:c r="C16" s="14" t="str">
        <x:v>When did the first generation kindle fire come out?</x:v>
      </x:c>
      <x:c r="D16" s="14" t="str">
        <x:v>atomic</x:v>
      </x:c>
      <x:c r="E16" s="14" t="str">
        <x:v>The first generation Kindle Fire was launched in November 2011.</x:v>
      </x:c>
      <x:c r="F16" s="14" t="str">
        <x:v>The first generation Kindle Fire was released in November 2011</x:v>
      </x:c>
      <x:c r="G16" s="14" t="n">
        <x:v>1</x:v>
      </x:c>
      <x:c r="H16" s="14" t="n">
        <x:v>1</x:v>
      </x:c>
      <x:c r="I16" s="53" t="b">
        <x:v>1</x:v>
      </x:c>
      <x:c r="J16" s="14" t="str"/>
      <x:c r="K16" s="14" t="str"/>
    </x:row>
    <x:row r="17">
      <x:c r="A17" t="str">
        <x:v>a2_new_minus_old_on_old_a1</x:v>
      </x:c>
      <x:c r="B17" t="str">
        <x:f>"qid:-1062522255440685408"</x:f>
        <x:v>qid:-1062522255440685408</x:v>
      </x:c>
      <x:c r="C17" s="14" t="str">
        <x:v>When did the first generation kindle fire come out?</x:v>
      </x:c>
      <x:c r="D17" s="14" t="str">
        <x:v>self_contained</x:v>
      </x:c>
      <x:c r="E17" s="14" t="str">
        <x:v>The first generation Kindle Fire was launched in November 2011.</x:v>
      </x:c>
      <x:c r="F17" s="14" t="str">
        <x:v>The first generation Kindle Fire was released in November 2011</x:v>
      </x:c>
      <x:c r="G17" s="14" t="n">
        <x:v>1</x:v>
      </x:c>
      <x:c r="H17" s="14" t="n">
        <x:v>1</x:v>
      </x:c>
      <x:c r="I17" s="53" t="b">
        <x:v>1</x:v>
      </x:c>
      <x:c r="J17" s="14" t="str"/>
      <x:c r="K17" s="14" t="str"/>
    </x:row>
    <x:row r="18">
      <x:c r="A18" t="str">
        <x:v>a2_new_minus_old_on_old_a1</x:v>
      </x:c>
      <x:c r="B18" t="str">
        <x:f>"qid:-1062522255440685408"</x:f>
        <x:v>qid:-1062522255440685408</x:v>
      </x:c>
      <x:c r="C18" s="14" t="str">
        <x:v>When did the first generation kindle fire come out?</x:v>
      </x:c>
      <x:c r="D18" s="14" t="str">
        <x:v>span_aligned</x:v>
      </x:c>
      <x:c r="E18" s="14" t="str">
        <x:v>The first generation Kindle Fire was launched in November 2011.</x:v>
      </x:c>
      <x:c r="F18" s="14" t="str">
        <x:v>The first generation Kindle Fire was released in November 2011</x:v>
      </x:c>
      <x:c r="G18" s="14" t="n">
        <x:v>1</x:v>
      </x:c>
      <x:c r="H18" s="14" t="n">
        <x:v>1</x:v>
      </x:c>
      <x:c r="I18" s="53" t="b">
        <x:v>1</x:v>
      </x:c>
      <x:c r="J18" s="14" t="str"/>
      <x:c r="K18" s="14" t="str"/>
    </x:row>
    <x:row r="19">
      <x:c r="A19" t="str">
        <x:v>a2_new_minus_old_on_old_a1</x:v>
      </x:c>
      <x:c r="B19" t="str">
        <x:f>"qid:-1062522255440685408"</x:f>
        <x:v>qid:-1062522255440685408</x:v>
      </x:c>
      <x:c r="C19" s="14" t="str">
        <x:v>When did the first generation kindle fire come out?</x:v>
      </x:c>
      <x:c r="D19" s="14" t="str">
        <x:v>rewrite_faithful</x:v>
      </x:c>
      <x:c r="E19" s="14" t="str">
        <x:v>The first generation Kindle Fire was launched in November 2011.</x:v>
      </x:c>
      <x:c r="F19" s="14" t="str">
        <x:v>The first generation Kindle Fire was released in November 2011</x:v>
      </x:c>
      <x:c r="G19" s="14" t="n">
        <x:v>1</x:v>
      </x:c>
      <x:c r="H19" s="14" t="n">
        <x:v>1</x:v>
      </x:c>
      <x:c r="I19" s="53" t="b">
        <x:v>1</x:v>
      </x:c>
      <x:c r="J19" s="14" t="str"/>
      <x:c r="K19" s="14" t="str"/>
    </x:row>
    <x:row r="20">
      <x:c r="A20" t="str">
        <x:v>a2_new_minus_old_on_old_a1</x:v>
      </x:c>
      <x:c r="B20" t="str">
        <x:f>"qid:-2585133819352441604"</x:f>
        <x:v>qid:-2585133819352441604</x:v>
      </x:c>
      <x:c r="C20" s="14" t="str">
        <x:v>Name of first episode of this is us?</x:v>
      </x:c>
      <x:c r="D20" s="14" t="str">
        <x:v>atomic</x:v>
      </x:c>
      <x:c r="E20" s="14" t="str">
        <x:v>The title of the first episode of the TV series This Is Us is Remember.</x:v>
      </x:c>
      <x:c r="F20" s="14" t="str">
        <x:v>The first episode of This Is Us is called "Remember."</x:v>
      </x:c>
      <x:c r="G20" s="14" t="n">
        <x:v>1</x:v>
      </x:c>
      <x:c r="H20" s="14" t="n">
        <x:v>1</x:v>
      </x:c>
      <x:c r="I20" s="53" t="b">
        <x:v>1</x:v>
      </x:c>
      <x:c r="J20" s="14" t="str"/>
      <x:c r="K20" s="14" t="str"/>
    </x:row>
    <x:row r="21">
      <x:c r="A21" t="str">
        <x:v>a2_new_minus_old_on_old_a1</x:v>
      </x:c>
      <x:c r="B21" t="str">
        <x:f>"qid:-2585133819352441604"</x:f>
        <x:v>qid:-2585133819352441604</x:v>
      </x:c>
      <x:c r="C21" s="14" t="str">
        <x:v>Name of first episode of this is us?</x:v>
      </x:c>
      <x:c r="D21" s="14" t="str">
        <x:v>self_contained</x:v>
      </x:c>
      <x:c r="E21" s="14" t="str">
        <x:v>The title of the first episode of the TV series This Is Us is Remember.</x:v>
      </x:c>
      <x:c r="F21" s="14" t="str">
        <x:v>The first episode of This Is Us is called "Remember."</x:v>
      </x:c>
      <x:c r="G21" s="14" t="n">
        <x:v>1</x:v>
      </x:c>
      <x:c r="H21" s="14" t="n">
        <x:v>1</x:v>
      </x:c>
      <x:c r="I21" s="53" t="b">
        <x:v>1</x:v>
      </x:c>
      <x:c r="J21" s="14" t="str"/>
      <x:c r="K21" s="14" t="str"/>
    </x:row>
    <x:row r="22">
      <x:c r="A22" t="str">
        <x:v>a2_new_minus_old_on_old_a1</x:v>
      </x:c>
      <x:c r="B22" t="str">
        <x:f>"qid:-2585133819352441604"</x:f>
        <x:v>qid:-2585133819352441604</x:v>
      </x:c>
      <x:c r="C22" s="14" t="str">
        <x:v>Name of first episode of this is us?</x:v>
      </x:c>
      <x:c r="D22" s="14" t="str">
        <x:v>span_aligned</x:v>
      </x:c>
      <x:c r="E22" s="14" t="str">
        <x:v>The title of the first episode of the TV series This Is Us is Remember.</x:v>
      </x:c>
      <x:c r="F22" s="14" t="str">
        <x:v>The first episode of This Is Us is called "Remember."</x:v>
      </x:c>
      <x:c r="G22" s="14" t="n">
        <x:v>1</x:v>
      </x:c>
      <x:c r="H22" s="14" t="n">
        <x:v>1</x:v>
      </x:c>
      <x:c r="I22" s="53" t="b">
        <x:v>1</x:v>
      </x:c>
      <x:c r="J22" s="14" t="str"/>
      <x:c r="K22" s="14" t="str"/>
    </x:row>
    <x:row r="23">
      <x:c r="A23" t="str">
        <x:v>a2_new_minus_old_on_old_a1</x:v>
      </x:c>
      <x:c r="B23" t="str">
        <x:f>"qid:-2585133819352441604"</x:f>
        <x:v>qid:-2585133819352441604</x:v>
      </x:c>
      <x:c r="C23" s="14" t="str">
        <x:v>Name of first episode of this is us?</x:v>
      </x:c>
      <x:c r="D23" s="14" t="str">
        <x:v>rewrite_faithful</x:v>
      </x:c>
      <x:c r="E23" s="14" t="str">
        <x:v>The title of the first episode of the TV series This Is Us is Remember.</x:v>
      </x:c>
      <x:c r="F23" s="14" t="str">
        <x:v>The first episode of This Is Us is called "Remember."</x:v>
      </x:c>
      <x:c r="G23" s="14" t="n">
        <x:v>1</x:v>
      </x:c>
      <x:c r="H23" s="14" t="n">
        <x:v>1</x:v>
      </x:c>
      <x:c r="I23" s="53" t="b">
        <x:v>1</x:v>
      </x:c>
      <x:c r="J23" s="14" t="str"/>
      <x:c r="K23" s="14" t="str"/>
    </x:row>
    <x:row r="24">
      <x:c r="A24" t="str">
        <x:v>a2_new_minus_old_on_old_a1</x:v>
      </x:c>
      <x:c r="B24" t="str">
        <x:f>"qid:-3228483207040151533"</x:f>
        <x:v>qid:-3228483207040151533</x:v>
      </x:c>
      <x:c r="C24" s="14" t="str">
        <x:v>What bodies of water surround cabo san lucas?</x:v>
      </x:c>
      <x:c r="D24" s="14" t="str">
        <x:v>atomic</x:v>
      </x:c>
      <x:c r="E24" s="14" t="str">
        <x:v>Cabo San Lucas is located between the Pacific Ocean and the Gulf of California.</x:v>
      </x:c>
      <x:c r="F24" s="14" t="str">
        <x:v>The Pacific Ocean and the Gulf of California surround Cabo San Lucas.</x:v>
      </x:c>
      <x:c r="G24" s="14" t="n">
        <x:v>1</x:v>
      </x:c>
      <x:c r="H24" s="14" t="n">
        <x:v>1</x:v>
      </x:c>
      <x:c r="I24" s="53" t="b">
        <x:v>1</x:v>
      </x:c>
      <x:c r="J24" s="14" t="str"/>
      <x:c r="K24" s="14" t="str"/>
    </x:row>
    <x:row r="25">
      <x:c r="A25" t="str">
        <x:v>a2_new_minus_old_on_old_a1</x:v>
      </x:c>
      <x:c r="B25" t="str">
        <x:f>"qid:-3228483207040151533"</x:f>
        <x:v>qid:-3228483207040151533</x:v>
      </x:c>
      <x:c r="C25" s="14" t="str">
        <x:v>What bodies of water surround cabo san lucas?</x:v>
      </x:c>
      <x:c r="D25" s="14" t="str">
        <x:v>self_contained</x:v>
      </x:c>
      <x:c r="E25" s="14" t="str">
        <x:v>Cabo San Lucas is located between the Pacific Ocean and the Gulf of California.</x:v>
      </x:c>
      <x:c r="F25" s="14" t="str">
        <x:v>The Pacific Ocean and the Gulf of California surround Cabo San Lucas.</x:v>
      </x:c>
      <x:c r="G25" s="14" t="n">
        <x:v>1</x:v>
      </x:c>
      <x:c r="H25" s="14" t="n">
        <x:v>1</x:v>
      </x:c>
      <x:c r="I25" s="53" t="b">
        <x:v>1</x:v>
      </x:c>
      <x:c r="J25" s="14" t="str"/>
      <x:c r="K25" s="14" t="str"/>
    </x:row>
    <x:row r="26">
      <x:c r="A26" t="str">
        <x:v>a2_new_minus_old_on_old_a1</x:v>
      </x:c>
      <x:c r="B26" t="str">
        <x:f>"qid:-3228483207040151533"</x:f>
        <x:v>qid:-3228483207040151533</x:v>
      </x:c>
      <x:c r="C26" s="14" t="str">
        <x:v>What bodies of water surround cabo san lucas?</x:v>
      </x:c>
      <x:c r="D26" s="14" t="str">
        <x:v>span_aligned</x:v>
      </x:c>
      <x:c r="E26" s="14" t="str">
        <x:v>Cabo San Lucas is located between the Pacific Ocean and the Gulf of California.</x:v>
      </x:c>
      <x:c r="F26" s="14" t="str">
        <x:v>The Pacific Ocean and the Gulf of California surround Cabo San Lucas.</x:v>
      </x:c>
      <x:c r="G26" s="14" t="n">
        <x:v>1</x:v>
      </x:c>
      <x:c r="H26" s="14" t="n">
        <x:v>1</x:v>
      </x:c>
      <x:c r="I26" s="53" t="b">
        <x:v>1</x:v>
      </x:c>
      <x:c r="J26" s="14" t="str"/>
      <x:c r="K26" s="14" t="str"/>
    </x:row>
    <x:row r="27">
      <x:c r="A27" t="str">
        <x:v>a2_new_minus_old_on_old_a1</x:v>
      </x:c>
      <x:c r="B27" t="str">
        <x:f>"qid:-3228483207040151533"</x:f>
        <x:v>qid:-3228483207040151533</x:v>
      </x:c>
      <x:c r="C27" s="14" t="str">
        <x:v>What bodies of water surround cabo san lucas?</x:v>
      </x:c>
      <x:c r="D27" s="14" t="str">
        <x:v>rewrite_faithful</x:v>
      </x:c>
      <x:c r="E27" s="14" t="str">
        <x:v>Cabo San Lucas is located between the Pacific Ocean and the Gulf of California.</x:v>
      </x:c>
      <x:c r="F27" s="14" t="str">
        <x:v>The Pacific Ocean and the Gulf of California surround Cabo San Lucas.</x:v>
      </x:c>
      <x:c r="G27" s="14" t="n">
        <x:v>1</x:v>
      </x:c>
      <x:c r="H27" s="14" t="n">
        <x:v>1</x:v>
      </x:c>
      <x:c r="I27" s="53" t="b">
        <x:v>1</x:v>
      </x:c>
      <x:c r="J27" s="14" t="str"/>
      <x:c r="K27" s="14" t="str"/>
    </x:row>
    <x:row r="28">
      <x:c r="A28" t="str">
        <x:v>a2_new_minus_old_on_old_a1</x:v>
      </x:c>
      <x:c r="B28" t="str">
        <x:f>"qid:-3279585462082900736"</x:f>
        <x:v>qid:-3279585462082900736</x:v>
      </x:c>
      <x:c r="C28" s="14" t="str">
        <x:v>Who gets fired on grey's anatomy season 6?</x:v>
      </x:c>
      <x:c r="D28" s="14" t="str">
        <x:v>atomic</x:v>
      </x:c>
      <x:c r="E28" s="14" t="str">
        <x:v>Katherine Heigl's character, Dr. Izzie Stevens, is written out of Grey's Anatomy in season 6.</x:v>
      </x:c>
      <x:c r="F28" s="14" t="str">
        <x:v>Katherine Heigl gets fired on Grey's Anatomy season 6</x:v>
      </x:c>
      <x:c r="G28" s="14" t="n">
        <x:v>1</x:v>
      </x:c>
      <x:c r="H28" s="14" t="n">
        <x:v>1</x:v>
      </x:c>
      <x:c r="I28" s="53" t="b">
        <x:v>1</x:v>
      </x:c>
      <x:c r="J28" s="14" t="str">
        <x:v>span_misaligned;meaning_changed</x:v>
      </x:c>
      <x:c r="K28" s="14" t="str">
        <x:v>span_misaligned;meaning_changed</x:v>
      </x:c>
    </x:row>
    <x:row r="29">
      <x:c r="A29" t="str">
        <x:v>a2_new_minus_old_on_old_a1</x:v>
      </x:c>
      <x:c r="B29" t="str">
        <x:f>"qid:-3279585462082900736"</x:f>
        <x:v>qid:-3279585462082900736</x:v>
      </x:c>
      <x:c r="C29" s="14" t="str">
        <x:v>Who gets fired on grey's anatomy season 6?</x:v>
      </x:c>
      <x:c r="D29" s="14" t="str">
        <x:v>self_contained</x:v>
      </x:c>
      <x:c r="E29" s="14" t="str">
        <x:v>Katherine Heigl's character, Dr. Izzie Stevens, is written out of Grey's Anatomy in season 6.</x:v>
      </x:c>
      <x:c r="F29" s="14" t="str">
        <x:v>Katherine Heigl gets fired on Grey's Anatomy season 6</x:v>
      </x:c>
      <x:c r="G29" s="14" t="n">
        <x:v>1</x:v>
      </x:c>
      <x:c r="H29" s="14" t="n">
        <x:v>1</x:v>
      </x:c>
      <x:c r="I29" s="53" t="b">
        <x:v>1</x:v>
      </x:c>
      <x:c r="J29" s="14" t="str">
        <x:v>span_misaligned;meaning_changed</x:v>
      </x:c>
      <x:c r="K29" s="14" t="str">
        <x:v>span_misaligned;meaning_changed</x:v>
      </x:c>
    </x:row>
    <x:row r="30">
      <x:c r="A30" t="str">
        <x:v>a2_new_minus_old_on_old_a1</x:v>
      </x:c>
      <x:c r="B30" t="str">
        <x:f>"qid:-3279585462082900736"</x:f>
        <x:v>qid:-3279585462082900736</x:v>
      </x:c>
      <x:c r="C30" s="14" t="str">
        <x:v>Who gets fired on grey's anatomy season 6?</x:v>
      </x:c>
      <x:c r="D30" s="14" t="str">
        <x:v>span_aligned</x:v>
      </x:c>
      <x:c r="E30" s="14" t="str">
        <x:v>Katherine Heigl's character, Dr. Izzie Stevens, is written out of Grey's Anatomy in season 6.</x:v>
      </x:c>
      <x:c r="F30" s="14" t="str">
        <x:v>Katherine Heigl gets fired on Grey's Anatomy season 6</x:v>
      </x:c>
      <x:c r="G30" s="14" t="n">
        <x:v>0</x:v>
      </x:c>
      <x:c r="H30" s="14" t="n">
        <x:v>0</x:v>
      </x:c>
      <x:c r="I30" s="53" t="b">
        <x:v>1</x:v>
      </x:c>
      <x:c r="J30" s="14" t="str">
        <x:v>span_misaligned;meaning_changed</x:v>
      </x:c>
      <x:c r="K30" s="14" t="str">
        <x:v>span_misaligned;meaning_changed</x:v>
      </x:c>
    </x:row>
    <x:row r="31">
      <x:c r="A31" t="str">
        <x:v>a2_new_minus_old_on_old_a1</x:v>
      </x:c>
      <x:c r="B31" t="str">
        <x:f>"qid:-3279585462082900736"</x:f>
        <x:v>qid:-3279585462082900736</x:v>
      </x:c>
      <x:c r="C31" s="14" t="str">
        <x:v>Who gets fired on grey's anatomy season 6?</x:v>
      </x:c>
      <x:c r="D31" s="14" t="str">
        <x:v>rewrite_faithful</x:v>
      </x:c>
      <x:c r="E31" s="14" t="str">
        <x:v>Katherine Heigl's character, Dr. Izzie Stevens, is written out of Grey's Anatomy in season 6.</x:v>
      </x:c>
      <x:c r="F31" s="14" t="str">
        <x:v>Katherine Heigl gets fired on Grey's Anatomy season 6</x:v>
      </x:c>
      <x:c r="G31" s="14" t="n">
        <x:v>0</x:v>
      </x:c>
      <x:c r="H31" s="14" t="n">
        <x:v>0</x:v>
      </x:c>
      <x:c r="I31" s="53" t="b">
        <x:v>1</x:v>
      </x:c>
      <x:c r="J31" s="14" t="str">
        <x:v>span_misaligned;meaning_changed</x:v>
      </x:c>
      <x:c r="K31" s="14" t="str">
        <x:v>span_misaligned;meaning_changed</x:v>
      </x:c>
    </x:row>
    <x:row r="32">
      <x:c r="A32" t="str">
        <x:v>a2_new_minus_old_on_old_a1</x:v>
      </x:c>
      <x:c r="B32" t="str">
        <x:f>"qid:-3344541168958463110"</x:f>
        <x:v>qid:-3344541168958463110</x:v>
      </x:c>
      <x:c r="C32" s="14" t="str">
        <x:v>Who fought with an angel in the bible?</x:v>
      </x:c>
      <x:c r="D32" s="14" t="str">
        <x:v>atomic</x:v>
      </x:c>
      <x:c r="E32" s="14" t="str">
        <x:v>Jacob fought with an angel in the Bible.</x:v>
      </x:c>
      <x:c r="F32" s="14" t="str">
        <x:v>Jacob wrestling with the angel is an episode from Genesis (32:22-32)</x:v>
      </x:c>
      <x:c r="G32" s="14" t="n">
        <x:v>1</x:v>
      </x:c>
      <x:c r="H32" s="14" t="n">
        <x:v>1</x:v>
      </x:c>
      <x:c r="I32" s="53" t="b">
        <x:v>1</x:v>
      </x:c>
      <x:c r="J32" s="14" t="str">
        <x:v>span_misaligned;meaning_changed</x:v>
      </x:c>
      <x:c r="K32" s="14" t="str">
        <x:v>span_misaligned;meaning_changed</x:v>
      </x:c>
    </x:row>
    <x:row r="33">
      <x:c r="A33" t="str">
        <x:v>a2_new_minus_old_on_old_a1</x:v>
      </x:c>
      <x:c r="B33" t="str">
        <x:f>"qid:-3344541168958463110"</x:f>
        <x:v>qid:-3344541168958463110</x:v>
      </x:c>
      <x:c r="C33" s="14" t="str">
        <x:v>Who fought with an angel in the bible?</x:v>
      </x:c>
      <x:c r="D33" s="14" t="str">
        <x:v>self_contained</x:v>
      </x:c>
      <x:c r="E33" s="14" t="str">
        <x:v>Jacob fought with an angel in the Bible.</x:v>
      </x:c>
      <x:c r="F33" s="14" t="str">
        <x:v>Jacob wrestling with the angel is an episode from Genesis (32:22-32)</x:v>
      </x:c>
      <x:c r="G33" s="14" t="n">
        <x:v>1</x:v>
      </x:c>
      <x:c r="H33" s="14" t="n">
        <x:v>1</x:v>
      </x:c>
      <x:c r="I33" s="53" t="b">
        <x:v>1</x:v>
      </x:c>
      <x:c r="J33" s="14" t="str">
        <x:v>span_misaligned;meaning_changed</x:v>
      </x:c>
      <x:c r="K33" s="14" t="str">
        <x:v>span_misaligned;meaning_changed</x:v>
      </x:c>
    </x:row>
    <x:row r="34">
      <x:c r="A34" t="str">
        <x:v>a2_new_minus_old_on_old_a1</x:v>
      </x:c>
      <x:c r="B34" t="str">
        <x:f>"qid:-3344541168958463110"</x:f>
        <x:v>qid:-3344541168958463110</x:v>
      </x:c>
      <x:c r="C34" s="14" t="str">
        <x:v>Who fought with an angel in the bible?</x:v>
      </x:c>
      <x:c r="D34" s="14" t="str">
        <x:v>span_aligned</x:v>
      </x:c>
      <x:c r="E34" s="14" t="str">
        <x:v>Jacob fought with an angel in the Bible.</x:v>
      </x:c>
      <x:c r="F34" s="14" t="str">
        <x:v>Jacob wrestling with the angel is an episode from Genesis (32:22-32)</x:v>
      </x:c>
      <x:c r="G34" s="14" t="n">
        <x:v>0</x:v>
      </x:c>
      <x:c r="H34" s="14" t="n">
        <x:v>0</x:v>
      </x:c>
      <x:c r="I34" s="53" t="b">
        <x:v>1</x:v>
      </x:c>
      <x:c r="J34" s="14" t="str">
        <x:v>span_misaligned;meaning_changed</x:v>
      </x:c>
      <x:c r="K34" s="14" t="str">
        <x:v>span_misaligned;meaning_changed</x:v>
      </x:c>
    </x:row>
    <x:row r="35">
      <x:c r="A35" t="str">
        <x:v>a2_new_minus_old_on_old_a1</x:v>
      </x:c>
      <x:c r="B35" t="str">
        <x:f>"qid:-3344541168958463110"</x:f>
        <x:v>qid:-3344541168958463110</x:v>
      </x:c>
      <x:c r="C35" s="14" t="str">
        <x:v>Who fought with an angel in the bible?</x:v>
      </x:c>
      <x:c r="D35" s="14" t="str">
        <x:v>rewrite_faithful</x:v>
      </x:c>
      <x:c r="E35" s="14" t="str">
        <x:v>Jacob fought with an angel in the Bible.</x:v>
      </x:c>
      <x:c r="F35" s="14" t="str">
        <x:v>Jacob wrestling with the angel is an episode from Genesis (32:22-32)</x:v>
      </x:c>
      <x:c r="G35" s="14" t="n">
        <x:v>0</x:v>
      </x:c>
      <x:c r="H35" s="14" t="n">
        <x:v>0</x:v>
      </x:c>
      <x:c r="I35" s="53" t="b">
        <x:v>1</x:v>
      </x:c>
      <x:c r="J35" s="14" t="str">
        <x:v>span_misaligned;meaning_changed</x:v>
      </x:c>
      <x:c r="K35" s="14" t="str">
        <x:v>span_misaligned;meaning_changed</x:v>
      </x:c>
    </x:row>
    <x:row r="36">
      <x:c r="A36" t="str">
        <x:v>a2_new_minus_old_on_old_a1</x:v>
      </x:c>
      <x:c r="B36" t="str">
        <x:f>"qid:-3344541168958463110"</x:f>
        <x:v>qid:-3344541168958463110</x:v>
      </x:c>
      <x:c r="C36" s="14" t="str">
        <x:v>Who fought with an angel in the bible?</x:v>
      </x:c>
      <x:c r="D36" s="14" t="str">
        <x:v>atomic</x:v>
      </x:c>
      <x:c r="E36" s="14" t="str">
        <x:v>The encounter was specifically with Jacob.</x:v>
      </x:c>
      <x:c r="F36" s="14" t="str">
        <x:v>[4] confirms that it was Jacob who wrestled with a man (identified later as God) in this encounter.</x:v>
      </x:c>
      <x:c r="G36" s="14" t="n">
        <x:v>1</x:v>
      </x:c>
      <x:c r="H36" s="14" t="n">
        <x:v>1</x:v>
      </x:c>
      <x:c r="I36" s="53" t="b">
        <x:v>1</x:v>
      </x:c>
      <x:c r="J36" s="14" t="str">
        <x:v>unresolved_reference;meaning_changed</x:v>
      </x:c>
      <x:c r="K36" s="14" t="str">
        <x:v>unresolved_reference;meaning_changed</x:v>
      </x:c>
    </x:row>
    <x:row r="37">
      <x:c r="A37" t="str">
        <x:v>a2_new_minus_old_on_old_a1</x:v>
      </x:c>
      <x:c r="B37" t="str">
        <x:f>"qid:-3344541168958463110"</x:f>
        <x:v>qid:-3344541168958463110</x:v>
      </x:c>
      <x:c r="C37" s="14" t="str">
        <x:v>Who fought with an angel in the bible?</x:v>
      </x:c>
      <x:c r="D37" s="14" t="str">
        <x:v>self_contained</x:v>
      </x:c>
      <x:c r="E37" s="14" t="str">
        <x:v>The encounter was specifically with Jacob.</x:v>
      </x:c>
      <x:c r="F37" s="14" t="str">
        <x:v>[4] confirms that it was Jacob who wrestled with a man (identified later as God) in this encounter.</x:v>
      </x:c>
      <x:c r="G37" s="14" t="n">
        <x:v>0</x:v>
      </x:c>
      <x:c r="H37" s="14" t="n">
        <x:v>0</x:v>
      </x:c>
      <x:c r="I37" s="53" t="b">
        <x:v>1</x:v>
      </x:c>
      <x:c r="J37" s="14" t="str">
        <x:v>unresolved_reference;meaning_changed</x:v>
      </x:c>
      <x:c r="K37" s="14" t="str">
        <x:v>unresolved_reference;meaning_changed</x:v>
      </x:c>
    </x:row>
    <x:row r="38">
      <x:c r="A38" t="str">
        <x:v>a2_new_minus_old_on_old_a1</x:v>
      </x:c>
      <x:c r="B38" t="str">
        <x:f>"qid:-3344541168958463110"</x:f>
        <x:v>qid:-3344541168958463110</x:v>
      </x:c>
      <x:c r="C38" s="14" t="str">
        <x:v>Who fought with an angel in the bible?</x:v>
      </x:c>
      <x:c r="D38" s="14" t="str">
        <x:v>span_aligned</x:v>
      </x:c>
      <x:c r="E38" s="14" t="str">
        <x:v>The encounter was specifically with Jacob.</x:v>
      </x:c>
      <x:c r="F38" s="14" t="str">
        <x:v>[4] confirms that it was Jacob who wrestled with a man (identified later as God) in this encounter.</x:v>
      </x:c>
      <x:c r="G38" s="14" t="n">
        <x:v>1</x:v>
      </x:c>
      <x:c r="H38" s="14" t="n">
        <x:v>1</x:v>
      </x:c>
      <x:c r="I38" s="53" t="b">
        <x:v>1</x:v>
      </x:c>
      <x:c r="J38" s="14" t="str">
        <x:v>unresolved_reference;meaning_changed</x:v>
      </x:c>
      <x:c r="K38" s="14" t="str">
        <x:v>unresolved_reference;meaning_changed</x:v>
      </x:c>
    </x:row>
    <x:row r="39">
      <x:c r="A39" t="str">
        <x:v>a2_new_minus_old_on_old_a1</x:v>
      </x:c>
      <x:c r="B39" t="str">
        <x:f>"qid:-3344541168958463110"</x:f>
        <x:v>qid:-3344541168958463110</x:v>
      </x:c>
      <x:c r="C39" s="14" t="str">
        <x:v>Who fought with an angel in the bible?</x:v>
      </x:c>
      <x:c r="D39" s="14" t="str">
        <x:v>rewrite_faithful</x:v>
      </x:c>
      <x:c r="E39" s="14" t="str">
        <x:v>The encounter was specifically with Jacob.</x:v>
      </x:c>
      <x:c r="F39" s="14" t="str">
        <x:v>[4] confirms that it was Jacob who wrestled with a man (identified later as God) in this encounter.</x:v>
      </x:c>
      <x:c r="G39" s="14" t="n">
        <x:v>0</x:v>
      </x:c>
      <x:c r="H39" s="14" t="n">
        <x:v>0</x:v>
      </x:c>
      <x:c r="I39" s="53" t="b">
        <x:v>1</x:v>
      </x:c>
      <x:c r="J39" s="14" t="str">
        <x:v>unresolved_reference;meaning_changed</x:v>
      </x:c>
      <x:c r="K39" s="14" t="str">
        <x:v>unresolved_reference;meaning_changed</x:v>
      </x:c>
    </x:row>
    <x:row r="40">
      <x:c r="A40" t="str">
        <x:v>a2_new_minus_old_on_old_a1</x:v>
      </x:c>
      <x:c r="B40" t="str">
        <x:f>"qid:-3904805932335139116"</x:f>
        <x:v>qid:-3904805932335139116</x:v>
      </x:c>
      <x:c r="C40" s="14" t="str">
        <x:v>What was the daughter's name on the jetsons?</x:v>
      </x:c>
      <x:c r="D40" s="14" t="str">
        <x:v>self_contained</x:v>
      </x:c>
      <x:c r="E40" s="14" t="str">
        <x:v>The name 'Judy' is mentioned in sources labeled 2 and 4.</x:v>
      </x:c>
      <x:c r="F40" s="14" t="str">
        <x:v>Judy [2][4]</x:v>
      </x:c>
      <x:c r="G40" s="14" t="n">
        <x:v>1</x:v>
      </x:c>
      <x:c r="H40" s="14" t="n">
        <x:v>1</x:v>
      </x:c>
      <x:c r="I40" s="53" t="b">
        <x:v>1</x:v>
      </x:c>
      <x:c r="J40" s="14" t="str">
        <x:v>meta_nonclaim</x:v>
      </x:c>
      <x:c r="K40" s="14" t="str">
        <x:v>meta_nonclaim</x:v>
      </x:c>
    </x:row>
    <x:row r="41">
      <x:c r="A41" t="str">
        <x:v>a2_new_minus_old_on_old_a1</x:v>
      </x:c>
      <x:c r="B41" t="str">
        <x:f>"qid:-3904805932335139116"</x:f>
        <x:v>qid:-3904805932335139116</x:v>
      </x:c>
      <x:c r="C41" s="14" t="str">
        <x:v>What was the daughter's name on the jetsons?</x:v>
      </x:c>
      <x:c r="D41" s="14" t="str">
        <x:v>span_aligned</x:v>
      </x:c>
      <x:c r="E41" s="14" t="str">
        <x:v>The name 'Judy' is mentioned in sources labeled 2 and 4.</x:v>
      </x:c>
      <x:c r="F41" s="14" t="str">
        <x:v>Judy [2][4]</x:v>
      </x:c>
      <x:c r="G41" s="14" t="n">
        <x:v>1</x:v>
      </x:c>
      <x:c r="H41" s="14" t="n">
        <x:v>1</x:v>
      </x:c>
      <x:c r="I41" s="53" t="b">
        <x:v>1</x:v>
      </x:c>
      <x:c r="J41" s="14" t="str">
        <x:v>meta_nonclaim</x:v>
      </x:c>
      <x:c r="K41" s="14" t="str">
        <x:v>meta_nonclaim</x:v>
      </x:c>
    </x:row>
    <x:row r="42">
      <x:c r="A42" t="str">
        <x:v>a2_new_minus_old_on_old_a1</x:v>
      </x:c>
      <x:c r="B42" t="str">
        <x:f>"qid:-3904805932335139116"</x:f>
        <x:v>qid:-3904805932335139116</x:v>
      </x:c>
      <x:c r="C42" s="14" t="str">
        <x:v>What was the daughter's name on the jetsons?</x:v>
      </x:c>
      <x:c r="D42" s="14" t="str">
        <x:v>rewrite_faithful</x:v>
      </x:c>
      <x:c r="E42" s="14" t="str">
        <x:v>The name 'Judy' is mentioned in sources labeled 2 and 4.</x:v>
      </x:c>
      <x:c r="F42" s="14" t="str">
        <x:v>Judy [2][4]</x:v>
      </x:c>
      <x:c r="G42" s="14" t="n">
        <x:v>1</x:v>
      </x:c>
      <x:c r="H42" s="14" t="n">
        <x:v>1</x:v>
      </x:c>
      <x:c r="I42" s="53" t="b">
        <x:v>1</x:v>
      </x:c>
      <x:c r="J42" s="14" t="str">
        <x:v>meta_nonclaim</x:v>
      </x:c>
      <x:c r="K42" s="14" t="str">
        <x:v>meta_nonclaim</x:v>
      </x:c>
    </x:row>
    <x:row r="43">
      <x:c r="A43" t="str">
        <x:v>a2_new_minus_old_on_old_a1</x:v>
      </x:c>
      <x:c r="B43" t="str">
        <x:f>"qid:-4286108617234818000"</x:f>
        <x:v>qid:-4286108617234818000</x:v>
      </x:c>
      <x:c r="C43" s="14" t="str">
        <x:v>When does the new super troopers movie come out?</x:v>
      </x:c>
      <x:c r="D43" s="14" t="str">
        <x:v>atomic</x:v>
      </x:c>
      <x:c r="E43" s="14" t="str">
        <x:v>Super Troopers 2 was released on April 20, 2018.</x:v>
      </x:c>
      <x:c r="F43" s="14" t="str">
        <x:v>The new Super Troopers movie, Super Troopers 2, was released on April 20, 2018</x:v>
      </x:c>
      <x:c r="G43" s="14" t="n">
        <x:v>1</x:v>
      </x:c>
      <x:c r="H43" s="14" t="n">
        <x:v>1</x:v>
      </x:c>
      <x:c r="I43" s="53" t="b">
        <x:v>1</x:v>
      </x:c>
      <x:c r="J43" s="14" t="str"/>
      <x:c r="K43" s="14" t="str"/>
    </x:row>
    <x:row r="44">
      <x:c r="A44" t="str">
        <x:v>a2_new_minus_old_on_old_a1</x:v>
      </x:c>
      <x:c r="B44" t="str">
        <x:f>"qid:-4286108617234818000"</x:f>
        <x:v>qid:-4286108617234818000</x:v>
      </x:c>
      <x:c r="C44" s="14" t="str">
        <x:v>When does the new super troopers movie come out?</x:v>
      </x:c>
      <x:c r="D44" s="14" t="str">
        <x:v>self_contained</x:v>
      </x:c>
      <x:c r="E44" s="14" t="str">
        <x:v>Super Troopers 2 was released on April 20, 2018.</x:v>
      </x:c>
      <x:c r="F44" s="14" t="str">
        <x:v>The new Super Troopers movie, Super Troopers 2, was released on April 20, 2018</x:v>
      </x:c>
      <x:c r="G44" s="14" t="n">
        <x:v>1</x:v>
      </x:c>
      <x:c r="H44" s="14" t="n">
        <x:v>1</x:v>
      </x:c>
      <x:c r="I44" s="53" t="b">
        <x:v>1</x:v>
      </x:c>
      <x:c r="J44" s="14" t="str"/>
      <x:c r="K44" s="14" t="str"/>
    </x:row>
    <x:row r="45">
      <x:c r="A45" t="str">
        <x:v>a2_new_minus_old_on_old_a1</x:v>
      </x:c>
      <x:c r="B45" t="str">
        <x:f>"qid:-4286108617234818000"</x:f>
        <x:v>qid:-4286108617234818000</x:v>
      </x:c>
      <x:c r="C45" s="14" t="str">
        <x:v>When does the new super troopers movie come out?</x:v>
      </x:c>
      <x:c r="D45" s="14" t="str">
        <x:v>span_aligned</x:v>
      </x:c>
      <x:c r="E45" s="14" t="str">
        <x:v>Super Troopers 2 was released on April 20, 2018.</x:v>
      </x:c>
      <x:c r="F45" s="14" t="str">
        <x:v>The new Super Troopers movie, Super Troopers 2, was released on April 20, 2018</x:v>
      </x:c>
      <x:c r="G45" s="14" t="n">
        <x:v>1</x:v>
      </x:c>
      <x:c r="H45" s="14" t="n">
        <x:v>1</x:v>
      </x:c>
      <x:c r="I45" s="53" t="b">
        <x:v>1</x:v>
      </x:c>
      <x:c r="J45" s="14" t="str"/>
      <x:c r="K45" s="14" t="str"/>
    </x:row>
    <x:row r="46">
      <x:c r="A46" t="str">
        <x:v>a2_new_minus_old_on_old_a1</x:v>
      </x:c>
      <x:c r="B46" t="str">
        <x:f>"qid:-4286108617234818000"</x:f>
        <x:v>qid:-4286108617234818000</x:v>
      </x:c>
      <x:c r="C46" s="14" t="str">
        <x:v>When does the new super troopers movie come out?</x:v>
      </x:c>
      <x:c r="D46" s="14" t="str">
        <x:v>rewrite_faithful</x:v>
      </x:c>
      <x:c r="E46" s="14" t="str">
        <x:v>Super Troopers 2 was released on April 20, 2018.</x:v>
      </x:c>
      <x:c r="F46" s="14" t="str">
        <x:v>The new Super Troopers movie, Super Troopers 2, was released on April 20, 2018</x:v>
      </x:c>
      <x:c r="G46" s="14" t="n">
        <x:v>1</x:v>
      </x:c>
      <x:c r="H46" s="14" t="n">
        <x:v>1</x:v>
      </x:c>
      <x:c r="I46" s="53" t="b">
        <x:v>1</x:v>
      </x:c>
      <x:c r="J46" s="14" t="str"/>
      <x:c r="K46" s="14" t="str"/>
    </x:row>
    <x:row r="47">
      <x:c r="A47" t="str">
        <x:v>a2_new_minus_old_on_old_a1</x:v>
      </x:c>
      <x:c r="B47" t="str">
        <x:f>"qid:-4456614433280196572"</x:f>
        <x:v>qid:-4456614433280196572</x:v>
      </x:c>
      <x:c r="C47" s="14" t="str">
        <x:v>What season does meredith and derek get married in grey's anatomy?</x:v>
      </x:c>
      <x:c r="D47" s="14" t="str">
        <x:v>atomic</x:v>
      </x:c>
      <x:c r="E47" s="14" t="str">
        <x:v>Meredith and Derek are married in the fifth season of the show.</x:v>
      </x:c>
      <x:c r="F47" s="14" t="str">
        <x:v>Meredith and Derek get married in season five [3].</x:v>
      </x:c>
      <x:c r="G47" s="14" t="n">
        <x:v>1</x:v>
      </x:c>
      <x:c r="H47" s="14" t="n">
        <x:v>1</x:v>
      </x:c>
      <x:c r="I47" s="53" t="b">
        <x:v>1</x:v>
      </x:c>
      <x:c r="J47" s="14" t="str"/>
      <x:c r="K47" s="14" t="str">
        <x:v>unresolved_reference</x:v>
      </x:c>
    </x:row>
    <x:row r="48">
      <x:c r="A48" t="str">
        <x:v>a2_new_minus_old_on_old_a1</x:v>
      </x:c>
      <x:c r="B48" t="str">
        <x:f>"qid:-4456614433280196572"</x:f>
        <x:v>qid:-4456614433280196572</x:v>
      </x:c>
      <x:c r="C48" s="14" t="str">
        <x:v>What season does meredith and derek get married in grey's anatomy?</x:v>
      </x:c>
      <x:c r="D48" s="14" t="str">
        <x:v>self_contained</x:v>
      </x:c>
      <x:c r="E48" s="14" t="str">
        <x:v>Meredith and Derek are married in the fifth season of the show.</x:v>
      </x:c>
      <x:c r="F48" s="14" t="str">
        <x:v>Meredith and Derek get married in season five [3].</x:v>
      </x:c>
      <x:c r="G48" s="14" t="n">
        <x:v>1</x:v>
      </x:c>
      <x:c r="H48" s="14" t="n">
        <x:v>0</x:v>
      </x:c>
      <x:c r="I48" s="53" t="b">
        <x:v>0</x:v>
      </x:c>
      <x:c r="J48" s="14" t="str"/>
      <x:c r="K48" s="14" t="str">
        <x:v>unresolved_reference</x:v>
      </x:c>
    </x:row>
    <x:row r="49">
      <x:c r="A49" t="str">
        <x:v>a2_new_minus_old_on_old_a1</x:v>
      </x:c>
      <x:c r="B49" t="str">
        <x:f>"qid:-4456614433280196572"</x:f>
        <x:v>qid:-4456614433280196572</x:v>
      </x:c>
      <x:c r="C49" s="14" t="str">
        <x:v>What season does meredith and derek get married in grey's anatomy?</x:v>
      </x:c>
      <x:c r="D49" s="14" t="str">
        <x:v>span_aligned</x:v>
      </x:c>
      <x:c r="E49" s="14" t="str">
        <x:v>Meredith and Derek are married in the fifth season of the show.</x:v>
      </x:c>
      <x:c r="F49" s="14" t="str">
        <x:v>Meredith and Derek get married in season five [3].</x:v>
      </x:c>
      <x:c r="G49" s="14" t="n">
        <x:v>1</x:v>
      </x:c>
      <x:c r="H49" s="14" t="n">
        <x:v>1</x:v>
      </x:c>
      <x:c r="I49" s="53" t="b">
        <x:v>1</x:v>
      </x:c>
      <x:c r="J49" s="14" t="str"/>
      <x:c r="K49" s="14" t="str">
        <x:v>unresolved_reference</x:v>
      </x:c>
    </x:row>
    <x:row r="50">
      <x:c r="A50" t="str">
        <x:v>a2_new_minus_old_on_old_a1</x:v>
      </x:c>
      <x:c r="B50" t="str">
        <x:f>"qid:-4456614433280196572"</x:f>
        <x:v>qid:-4456614433280196572</x:v>
      </x:c>
      <x:c r="C50" s="14" t="str">
        <x:v>What season does meredith and derek get married in grey's anatomy?</x:v>
      </x:c>
      <x:c r="D50" s="14" t="str">
        <x:v>rewrite_faithful</x:v>
      </x:c>
      <x:c r="E50" s="14" t="str">
        <x:v>Meredith and Derek are married in the fifth season of the show.</x:v>
      </x:c>
      <x:c r="F50" s="14" t="str">
        <x:v>Meredith and Derek get married in season five [3].</x:v>
      </x:c>
      <x:c r="G50" s="14" t="n">
        <x:v>1</x:v>
      </x:c>
      <x:c r="H50" s="14" t="n">
        <x:v>1</x:v>
      </x:c>
      <x:c r="I50" s="53" t="b">
        <x:v>1</x:v>
      </x:c>
      <x:c r="J50" s="14" t="str"/>
      <x:c r="K50" s="14" t="str">
        <x:v>unresolved_reference</x:v>
      </x:c>
    </x:row>
    <x:row r="51">
      <x:c r="A51" t="str">
        <x:v>a2_new_minus_old_on_old_a1</x:v>
      </x:c>
      <x:c r="B51" t="str">
        <x:f>"qid:-447198893588059167"</x:f>
        <x:v>qid:-447198893588059167</x:v>
      </x:c>
      <x:c r="C51" s="14" t="str">
        <x:v>Who played the father in leave it to beaver?</x:v>
      </x:c>
      <x:c r="D51" s="14" t="str">
        <x:v>atomic</x:v>
      </x:c>
      <x:c r="E51" s="14" t="str">
        <x:v>Hugh Beaumont portrayed the character Ward Cleaver in the television series Leave It to Beaver.</x:v>
      </x:c>
      <x:c r="F51" s="14" t="str">
        <x:v>Hugh Beaumont played the father, Ward Cleaver, in Leave It to Beaver.</x:v>
      </x:c>
      <x:c r="G51" s="14" t="n">
        <x:v>1</x:v>
      </x:c>
      <x:c r="H51" s="14" t="n">
        <x:v>1</x:v>
      </x:c>
      <x:c r="I51" s="53" t="b">
        <x:v>1</x:v>
      </x:c>
      <x:c r="J51" s="14" t="str"/>
      <x:c r="K51" s="14" t="str"/>
    </x:row>
    <x:row r="52">
      <x:c r="A52" t="str">
        <x:v>a2_new_minus_old_on_old_a1</x:v>
      </x:c>
      <x:c r="B52" t="str">
        <x:f>"qid:-447198893588059167"</x:f>
        <x:v>qid:-447198893588059167</x:v>
      </x:c>
      <x:c r="C52" s="14" t="str">
        <x:v>Who played the father in leave it to beaver?</x:v>
      </x:c>
      <x:c r="D52" s="14" t="str">
        <x:v>self_contained</x:v>
      </x:c>
      <x:c r="E52" s="14" t="str">
        <x:v>Hugh Beaumont portrayed the character Ward Cleaver in the television series Leave It to Beaver.</x:v>
      </x:c>
      <x:c r="F52" s="14" t="str">
        <x:v>Hugh Beaumont played the father, Ward Cleaver, in Leave It to Beaver.</x:v>
      </x:c>
      <x:c r="G52" s="14" t="n">
        <x:v>1</x:v>
      </x:c>
      <x:c r="H52" s="14" t="n">
        <x:v>1</x:v>
      </x:c>
      <x:c r="I52" s="53" t="b">
        <x:v>1</x:v>
      </x:c>
      <x:c r="J52" s="14" t="str"/>
      <x:c r="K52" s="14" t="str"/>
    </x:row>
    <x:row r="53">
      <x:c r="A53" t="str">
        <x:v>a2_new_minus_old_on_old_a1</x:v>
      </x:c>
      <x:c r="B53" t="str">
        <x:f>"qid:-447198893588059167"</x:f>
        <x:v>qid:-447198893588059167</x:v>
      </x:c>
      <x:c r="C53" s="14" t="str">
        <x:v>Who played the father in leave it to beaver?</x:v>
      </x:c>
      <x:c r="D53" s="14" t="str">
        <x:v>span_aligned</x:v>
      </x:c>
      <x:c r="E53" s="14" t="str">
        <x:v>Hugh Beaumont portrayed the character Ward Cleaver in the television series Leave It to Beaver.</x:v>
      </x:c>
      <x:c r="F53" s="14" t="str">
        <x:v>Hugh Beaumont played the father, Ward Cleaver, in Leave It to Beaver.</x:v>
      </x:c>
      <x:c r="G53" s="14" t="n">
        <x:v>1</x:v>
      </x:c>
      <x:c r="H53" s="14" t="n">
        <x:v>1</x:v>
      </x:c>
      <x:c r="I53" s="53" t="b">
        <x:v>1</x:v>
      </x:c>
      <x:c r="J53" s="14" t="str"/>
      <x:c r="K53" s="14" t="str"/>
    </x:row>
    <x:row r="54">
      <x:c r="A54" t="str">
        <x:v>a2_new_minus_old_on_old_a1</x:v>
      </x:c>
      <x:c r="B54" t="str">
        <x:f>"qid:-447198893588059167"</x:f>
        <x:v>qid:-447198893588059167</x:v>
      </x:c>
      <x:c r="C54" s="14" t="str">
        <x:v>Who played the father in leave it to beaver?</x:v>
      </x:c>
      <x:c r="D54" s="14" t="str">
        <x:v>rewrite_faithful</x:v>
      </x:c>
      <x:c r="E54" s="14" t="str">
        <x:v>Hugh Beaumont portrayed the character Ward Cleaver in the television series Leave It to Beaver.</x:v>
      </x:c>
      <x:c r="F54" s="14" t="str">
        <x:v>Hugh Beaumont played the father, Ward Cleaver, in Leave It to Beaver.</x:v>
      </x:c>
      <x:c r="G54" s="14" t="n">
        <x:v>1</x:v>
      </x:c>
      <x:c r="H54" s="14" t="n">
        <x:v>1</x:v>
      </x:c>
      <x:c r="I54" s="53" t="b">
        <x:v>1</x:v>
      </x:c>
      <x:c r="J54" s="14" t="str"/>
      <x:c r="K54" s="14" t="str"/>
    </x:row>
    <x:row r="55">
      <x:c r="A55" t="str">
        <x:v>a2_new_minus_old_on_old_a1</x:v>
      </x:c>
      <x:c r="B55" t="str">
        <x:f>"qid:-4649654703638364295"</x:f>
        <x:v>qid:-4649654703638364295</x:v>
      </x:c>
      <x:c r="C55" s="14" t="str">
        <x:v>Who made it through the divisional finals world of dance?</x:v>
      </x:c>
      <x:c r="D55" s="14" t="str">
        <x:v>atomic</x:v>
      </x:c>
      <x:c r="E55" s="14" t="str">
        <x:v>The Lab, Les Twins, Kinjaz, and Keone &amp; Mari participated in the divisional finals of World of Dance.</x:v>
      </x:c>
      <x:c r="F55" s="14" t="str">
        <x:v>The Lab, Les Twins, Kinjaz, and Keone &amp; Mari made it through the divisional finals of World of Dance [3].</x:v>
      </x:c>
      <x:c r="G55" s="14" t="n">
        <x:v>1</x:v>
      </x:c>
      <x:c r="H55" s="14" t="n">
        <x:v>1</x:v>
      </x:c>
      <x:c r="I55" s="53" t="b">
        <x:v>1</x:v>
      </x:c>
      <x:c r="J55" s="14" t="str"/>
      <x:c r="K55" s="14" t="str"/>
    </x:row>
    <x:row r="56">
      <x:c r="A56" t="str">
        <x:v>a2_new_minus_old_on_old_a1</x:v>
      </x:c>
      <x:c r="B56" t="str">
        <x:f>"qid:-4649654703638364295"</x:f>
        <x:v>qid:-4649654703638364295</x:v>
      </x:c>
      <x:c r="C56" s="14" t="str">
        <x:v>Who made it through the divisional finals world of dance?</x:v>
      </x:c>
      <x:c r="D56" s="14" t="str">
        <x:v>self_contained</x:v>
      </x:c>
      <x:c r="E56" s="14" t="str">
        <x:v>The Lab, Les Twins, Kinjaz, and Keone &amp; Mari participated in the divisional finals of World of Dance.</x:v>
      </x:c>
      <x:c r="F56" s="14" t="str">
        <x:v>The Lab, Les Twins, Kinjaz, and Keone &amp; Mari made it through the divisional finals of World of Dance [3].</x:v>
      </x:c>
      <x:c r="G56" s="14" t="n">
        <x:v>1</x:v>
      </x:c>
      <x:c r="H56" s="14" t="n">
        <x:v>1</x:v>
      </x:c>
      <x:c r="I56" s="53" t="b">
        <x:v>1</x:v>
      </x:c>
      <x:c r="J56" s="14" t="str"/>
      <x:c r="K56" s="14" t="str"/>
    </x:row>
    <x:row r="57">
      <x:c r="A57" t="str">
        <x:v>a2_new_minus_old_on_old_a1</x:v>
      </x:c>
      <x:c r="B57" t="str">
        <x:f>"qid:-4649654703638364295"</x:f>
        <x:v>qid:-4649654703638364295</x:v>
      </x:c>
      <x:c r="C57" s="14" t="str">
        <x:v>Who made it through the divisional finals world of dance?</x:v>
      </x:c>
      <x:c r="D57" s="14" t="str">
        <x:v>span_aligned</x:v>
      </x:c>
      <x:c r="E57" s="14" t="str">
        <x:v>The Lab, Les Twins, Kinjaz, and Keone &amp; Mari participated in the divisional finals of World of Dance.</x:v>
      </x:c>
      <x:c r="F57" s="14" t="str">
        <x:v>The Lab, Les Twins, Kinjaz, and Keone &amp; Mari made it through the divisional finals of World of Dance [3].</x:v>
      </x:c>
      <x:c r="G57" s="14" t="n">
        <x:v>1</x:v>
      </x:c>
      <x:c r="H57" s="14" t="n">
        <x:v>1</x:v>
      </x:c>
      <x:c r="I57" s="53" t="b">
        <x:v>1</x:v>
      </x:c>
      <x:c r="J57" s="14" t="str"/>
      <x:c r="K57" s="14" t="str"/>
    </x:row>
    <x:row r="58">
      <x:c r="A58" t="str">
        <x:v>a2_new_minus_old_on_old_a1</x:v>
      </x:c>
      <x:c r="B58" t="str">
        <x:f>"qid:-4649654703638364295"</x:f>
        <x:v>qid:-4649654703638364295</x:v>
      </x:c>
      <x:c r="C58" s="14" t="str">
        <x:v>Who made it through the divisional finals world of dance?</x:v>
      </x:c>
      <x:c r="D58" s="14" t="str">
        <x:v>rewrite_faithful</x:v>
      </x:c>
      <x:c r="E58" s="14" t="str">
        <x:v>The Lab, Les Twins, Kinjaz, and Keone &amp; Mari participated in the divisional finals of World of Dance.</x:v>
      </x:c>
      <x:c r="F58" s="14" t="str">
        <x:v>The Lab, Les Twins, Kinjaz, and Keone &amp; Mari made it through the divisional finals of World of Dance [3].</x:v>
      </x:c>
      <x:c r="G58" s="14" t="n">
        <x:v>1</x:v>
      </x:c>
      <x:c r="H58" s="14" t="n">
        <x:v>1</x:v>
      </x:c>
      <x:c r="I58" s="53" t="b">
        <x:v>1</x:v>
      </x:c>
      <x:c r="J58" s="14" t="str"/>
      <x:c r="K58" s="14" t="str"/>
    </x:row>
    <x:row r="59">
      <x:c r="A59" t="str">
        <x:v>a2_new_minus_old_on_old_a1</x:v>
      </x:c>
      <x:c r="B59" t="str">
        <x:f>"qid:-4873786835306543030"</x:f>
        <x:v>qid:-4873786835306543030</x:v>
      </x:c>
      <x:c r="C59" s="14" t="str">
        <x:v>Who is the chief minister of m. p?</x:v>
      </x:c>
      <x:c r="D59" s="14" t="str">
        <x:v>atomic</x:v>
      </x:c>
      <x:c r="E59" s="14" t="str">
        <x:v>Captain Amarinder Singh holds the position of chief minister for Punjab (MP).</x:v>
      </x:c>
      <x:c r="F59" s="14" t="str">
        <x:v>The chief minister of Punjab (MP) is Captain Amarinder Singh</x:v>
      </x:c>
      <x:c r="G59" s="14" t="n">
        <x:v>1</x:v>
      </x:c>
      <x:c r="H59" s="14" t="n">
        <x:v>1</x:v>
      </x:c>
      <x:c r="I59" s="53" t="b">
        <x:v>1</x:v>
      </x:c>
      <x:c r="J59" s="14" t="str"/>
      <x:c r="K59" s="14" t="str"/>
    </x:row>
    <x:row r="60">
      <x:c r="A60" t="str">
        <x:v>a2_new_minus_old_on_old_a1</x:v>
      </x:c>
      <x:c r="B60" t="str">
        <x:f>"qid:-4873786835306543030"</x:f>
        <x:v>qid:-4873786835306543030</x:v>
      </x:c>
      <x:c r="C60" s="14" t="str">
        <x:v>Who is the chief minister of m. p?</x:v>
      </x:c>
      <x:c r="D60" s="14" t="str">
        <x:v>self_contained</x:v>
      </x:c>
      <x:c r="E60" s="14" t="str">
        <x:v>Captain Amarinder Singh holds the position of chief minister for Punjab (MP).</x:v>
      </x:c>
      <x:c r="F60" s="14" t="str">
        <x:v>The chief minister of Punjab (MP) is Captain Amarinder Singh</x:v>
      </x:c>
      <x:c r="G60" s="14" t="n">
        <x:v>1</x:v>
      </x:c>
      <x:c r="H60" s="14" t="n">
        <x:v>1</x:v>
      </x:c>
      <x:c r="I60" s="53" t="b">
        <x:v>1</x:v>
      </x:c>
      <x:c r="J60" s="14" t="str"/>
      <x:c r="K60" s="14" t="str"/>
    </x:row>
    <x:row r="61">
      <x:c r="A61" t="str">
        <x:v>a2_new_minus_old_on_old_a1</x:v>
      </x:c>
      <x:c r="B61" t="str">
        <x:f>"qid:-4873786835306543030"</x:f>
        <x:v>qid:-4873786835306543030</x:v>
      </x:c>
      <x:c r="C61" s="14" t="str">
        <x:v>Who is the chief minister of m. p?</x:v>
      </x:c>
      <x:c r="D61" s="14" t="str">
        <x:v>span_aligned</x:v>
      </x:c>
      <x:c r="E61" s="14" t="str">
        <x:v>Captain Amarinder Singh holds the position of chief minister for Punjab (MP).</x:v>
      </x:c>
      <x:c r="F61" s="14" t="str">
        <x:v>The chief minister of Punjab (MP) is Captain Amarinder Singh</x:v>
      </x:c>
      <x:c r="G61" s="14" t="n">
        <x:v>1</x:v>
      </x:c>
      <x:c r="H61" s="14" t="n">
        <x:v>1</x:v>
      </x:c>
      <x:c r="I61" s="53" t="b">
        <x:v>1</x:v>
      </x:c>
      <x:c r="J61" s="14" t="str"/>
      <x:c r="K61" s="14" t="str"/>
    </x:row>
    <x:row r="62">
      <x:c r="A62" t="str">
        <x:v>a2_new_minus_old_on_old_a1</x:v>
      </x:c>
      <x:c r="B62" t="str">
        <x:f>"qid:-4873786835306543030"</x:f>
        <x:v>qid:-4873786835306543030</x:v>
      </x:c>
      <x:c r="C62" s="14" t="str">
        <x:v>Who is the chief minister of m. p?</x:v>
      </x:c>
      <x:c r="D62" s="14" t="str">
        <x:v>rewrite_faithful</x:v>
      </x:c>
      <x:c r="E62" s="14" t="str">
        <x:v>Captain Amarinder Singh holds the position of chief minister for Punjab (MP).</x:v>
      </x:c>
      <x:c r="F62" s="14" t="str">
        <x:v>The chief minister of Punjab (MP) is Captain Amarinder Singh</x:v>
      </x:c>
      <x:c r="G62" s="14" t="n">
        <x:v>1</x:v>
      </x:c>
      <x:c r="H62" s="14" t="n">
        <x:v>1</x:v>
      </x:c>
      <x:c r="I62" s="53" t="b">
        <x:v>1</x:v>
      </x:c>
      <x:c r="J62" s="14" t="str"/>
      <x:c r="K62" s="14" t="str"/>
    </x:row>
    <x:row r="63">
      <x:c r="A63" t="str">
        <x:v>a2_new_minus_old_on_old_a1</x:v>
      </x:c>
      <x:c r="B63" t="str">
        <x:f>"qid:-4995398567532229571"</x:f>
        <x:v>qid:-4995398567532229571</x:v>
      </x:c>
      <x:c r="C63" s="14" t="str">
        <x:v>When did ragtime flourished in the united states?</x:v>
      </x:c>
      <x:c r="D63" s="14" t="str">
        <x:v>atomic</x:v>
      </x:c>
      <x:c r="E63" s="14" t="str">
        <x:v>By the start of the 20th century, ragtime was widely popular throughout North America.</x:v>
      </x:c>
      <x:c r="F63" s="14" t="str">
        <x:v>The evidence indicates that more sophisticated African‑American styles, including ragtime, became popular around this time, and by the start of the 20th century it was widely popular throughout North America [3].</x:v>
      </x:c>
      <x:c r="G63" s="14" t="n">
        <x:v>1</x:v>
      </x:c>
      <x:c r="H63" s="14" t="n">
        <x:v>1</x:v>
      </x:c>
      <x:c r="I63" s="53" t="b">
        <x:v>1</x:v>
      </x:c>
      <x:c r="J63" s="14" t="str"/>
      <x:c r="K63" s="14" t="str"/>
    </x:row>
    <x:row r="64">
      <x:c r="A64" t="str">
        <x:v>a2_new_minus_old_on_old_a1</x:v>
      </x:c>
      <x:c r="B64" t="str">
        <x:f>"qid:-4995398567532229571"</x:f>
        <x:v>qid:-4995398567532229571</x:v>
      </x:c>
      <x:c r="C64" s="14" t="str">
        <x:v>When did ragtime flourished in the united states?</x:v>
      </x:c>
      <x:c r="D64" s="14" t="str">
        <x:v>self_contained</x:v>
      </x:c>
      <x:c r="E64" s="14" t="str">
        <x:v>By the start of the 20th century, ragtime was widely popular throughout North America.</x:v>
      </x:c>
      <x:c r="F64" s="14" t="str">
        <x:v>The evidence indicates that more sophisticated African‑American styles, including ragtime, became popular around this time, and by the start of the 20th century it was widely popular throughout North America [3].</x:v>
      </x:c>
      <x:c r="G64" s="14" t="n">
        <x:v>1</x:v>
      </x:c>
      <x:c r="H64" s="14" t="n">
        <x:v>1</x:v>
      </x:c>
      <x:c r="I64" s="53" t="b">
        <x:v>1</x:v>
      </x:c>
      <x:c r="J64" s="14" t="str"/>
      <x:c r="K64" s="14" t="str"/>
    </x:row>
    <x:row r="65">
      <x:c r="A65" t="str">
        <x:v>a2_new_minus_old_on_old_a1</x:v>
      </x:c>
      <x:c r="B65" t="str">
        <x:f>"qid:-4995398567532229571"</x:f>
        <x:v>qid:-4995398567532229571</x:v>
      </x:c>
      <x:c r="C65" s="14" t="str">
        <x:v>When did ragtime flourished in the united states?</x:v>
      </x:c>
      <x:c r="D65" s="14" t="str">
        <x:v>span_aligned</x:v>
      </x:c>
      <x:c r="E65" s="14" t="str">
        <x:v>By the start of the 20th century, ragtime was widely popular throughout North America.</x:v>
      </x:c>
      <x:c r="F65" s="14" t="str">
        <x:v>The evidence indicates that more sophisticated African‑American styles, including ragtime, became popular around this time, and by the start of the 20th century it was widely popular throughout North America [3].</x:v>
      </x:c>
      <x:c r="G65" s="14" t="n">
        <x:v>1</x:v>
      </x:c>
      <x:c r="H65" s="14" t="n">
        <x:v>1</x:v>
      </x:c>
      <x:c r="I65" s="53" t="b">
        <x:v>1</x:v>
      </x:c>
      <x:c r="J65" s="14" t="str"/>
      <x:c r="K65" s="14" t="str"/>
    </x:row>
    <x:row r="66">
      <x:c r="A66" t="str">
        <x:v>a2_new_minus_old_on_old_a1</x:v>
      </x:c>
      <x:c r="B66" t="str">
        <x:f>"qid:-4995398567532229571"</x:f>
        <x:v>qid:-4995398567532229571</x:v>
      </x:c>
      <x:c r="C66" s="14" t="str">
        <x:v>When did ragtime flourished in the united states?</x:v>
      </x:c>
      <x:c r="D66" s="14" t="str">
        <x:v>rewrite_faithful</x:v>
      </x:c>
      <x:c r="E66" s="14" t="str">
        <x:v>By the start of the 20th century, ragtime was widely popular throughout North America.</x:v>
      </x:c>
      <x:c r="F66" s="14" t="str">
        <x:v>The evidence indicates that more sophisticated African‑American styles, including ragtime, became popular around this time, and by the start of the 20th century it was widely popular throughout North America [3].</x:v>
      </x:c>
      <x:c r="G66" s="14" t="n">
        <x:v>1</x:v>
      </x:c>
      <x:c r="H66" s="14" t="n">
        <x:v>1</x:v>
      </x:c>
      <x:c r="I66" s="53" t="b">
        <x:v>1</x:v>
      </x:c>
      <x:c r="J66" s="14" t="str"/>
      <x:c r="K66" s="14" t="str"/>
    </x:row>
    <x:row r="67">
      <x:c r="A67" t="str">
        <x:v>a2_new_minus_old_on_old_a1</x:v>
      </x:c>
      <x:c r="B67" t="str">
        <x:f>"qid:-4995398567532229571"</x:f>
        <x:v>qid:-4995398567532229571</x:v>
      </x:c>
      <x:c r="C67" s="14" t="str">
        <x:v>When did ragtime flourished in the united states?</x:v>
      </x:c>
      <x:c r="D67" s="14" t="str">
        <x:v>atomic</x:v>
      </x:c>
      <x:c r="E67" s="14" t="str">
        <x:v>Ragtime became popular in the United States in the late 19th century, around the 1890s.</x:v>
      </x:c>
      <x:c r="F67" s="14" t="str">
        <x:v>Ragtime flourished in the United States during the latter part of the 19th century, particularly in the 1890s [1][3].</x:v>
      </x:c>
      <x:c r="G67" s="14" t="n">
        <x:v>1</x:v>
      </x:c>
      <x:c r="H67" s="14" t="n">
        <x:v>1</x:v>
      </x:c>
      <x:c r="I67" s="53" t="b">
        <x:v>1</x:v>
      </x:c>
      <x:c r="J67" s="14" t="str"/>
      <x:c r="K67" s="14" t="str"/>
    </x:row>
    <x:row r="68">
      <x:c r="A68" t="str">
        <x:v>a2_new_minus_old_on_old_a1</x:v>
      </x:c>
      <x:c r="B68" t="str">
        <x:f>"qid:-4995398567532229571"</x:f>
        <x:v>qid:-4995398567532229571</x:v>
      </x:c>
      <x:c r="C68" s="14" t="str">
        <x:v>When did ragtime flourished in the united states?</x:v>
      </x:c>
      <x:c r="D68" s="14" t="str">
        <x:v>self_contained</x:v>
      </x:c>
      <x:c r="E68" s="14" t="str">
        <x:v>Ragtime became popular in the United States in the late 19th century, around the 1890s.</x:v>
      </x:c>
      <x:c r="F68" s="14" t="str">
        <x:v>Ragtime flourished in the United States during the latter part of the 19th century, particularly in the 1890s [1][3].</x:v>
      </x:c>
      <x:c r="G68" s="14" t="n">
        <x:v>1</x:v>
      </x:c>
      <x:c r="H68" s="14" t="n">
        <x:v>1</x:v>
      </x:c>
      <x:c r="I68" s="53" t="b">
        <x:v>1</x:v>
      </x:c>
      <x:c r="J68" s="14" t="str"/>
      <x:c r="K68" s="14" t="str"/>
    </x:row>
    <x:row r="69">
      <x:c r="A69" t="str">
        <x:v>a2_new_minus_old_on_old_a1</x:v>
      </x:c>
      <x:c r="B69" t="str">
        <x:f>"qid:-4995398567532229571"</x:f>
        <x:v>qid:-4995398567532229571</x:v>
      </x:c>
      <x:c r="C69" s="14" t="str">
        <x:v>When did ragtime flourished in the united states?</x:v>
      </x:c>
      <x:c r="D69" s="14" t="str">
        <x:v>span_aligned</x:v>
      </x:c>
      <x:c r="E69" s="14" t="str">
        <x:v>Ragtime became popular in the United States in the late 19th century, around the 1890s.</x:v>
      </x:c>
      <x:c r="F69" s="14" t="str">
        <x:v>Ragtime flourished in the United States during the latter part of the 19th century, particularly in the 1890s [1][3].</x:v>
      </x:c>
      <x:c r="G69" s="14" t="n">
        <x:v>1</x:v>
      </x:c>
      <x:c r="H69" s="14" t="n">
        <x:v>1</x:v>
      </x:c>
      <x:c r="I69" s="53" t="b">
        <x:v>1</x:v>
      </x:c>
      <x:c r="J69" s="14" t="str"/>
      <x:c r="K69" s="14" t="str"/>
    </x:row>
    <x:row r="70">
      <x:c r="A70" t="str">
        <x:v>a2_new_minus_old_on_old_a1</x:v>
      </x:c>
      <x:c r="B70" t="str">
        <x:f>"qid:-4995398567532229571"</x:f>
        <x:v>qid:-4995398567532229571</x:v>
      </x:c>
      <x:c r="C70" s="14" t="str">
        <x:v>When did ragtime flourished in the united states?</x:v>
      </x:c>
      <x:c r="D70" s="14" t="str">
        <x:v>rewrite_faithful</x:v>
      </x:c>
      <x:c r="E70" s="14" t="str">
        <x:v>Ragtime became popular in the United States in the late 19th century, around the 1890s.</x:v>
      </x:c>
      <x:c r="F70" s="14" t="str">
        <x:v>Ragtime flourished in the United States during the latter part of the 19th century, particularly in the 1890s [1][3].</x:v>
      </x:c>
      <x:c r="G70" s="14" t="n">
        <x:v>1</x:v>
      </x:c>
      <x:c r="H70" s="14" t="n">
        <x:v>1</x:v>
      </x:c>
      <x:c r="I70" s="53" t="b">
        <x:v>1</x:v>
      </x:c>
      <x:c r="J70" s="14" t="str"/>
      <x:c r="K70" s="14" t="str"/>
    </x:row>
    <x:row r="71">
      <x:c r="A71" t="str">
        <x:v>a2_new_minus_old_on_old_a1</x:v>
      </x:c>
      <x:c r="B71" t="str">
        <x:f>"qid:-5036947181661390825"</x:f>
        <x:v>qid:-5036947181661390825</x:v>
      </x:c>
      <x:c r="C71" s="14" t="str">
        <x:v>When was the vietnam veterans war memorial built?</x:v>
      </x:c>
      <x:c r="D71" s="14" t="str">
        <x:v>atomic</x:v>
      </x:c>
      <x:c r="E71" s="14" t="str">
        <x:v>The Vietnam Veterans Memorial was constructed and officially dedicated on November 13, 1982.</x:v>
      </x:c>
      <x:c r="F71" s="14" t="str">
        <x:v>The Vietnam Veterans Memorial was built and dedicated on November 13, 1982</x:v>
      </x:c>
      <x:c r="G71" s="14" t="n">
        <x:v>1</x:v>
      </x:c>
      <x:c r="H71" s="14" t="n">
        <x:v>1</x:v>
      </x:c>
      <x:c r="I71" s="53" t="b">
        <x:v>1</x:v>
      </x:c>
      <x:c r="J71" s="14" t="str"/>
      <x:c r="K71" s="14" t="str"/>
    </x:row>
    <x:row r="72">
      <x:c r="A72" t="str">
        <x:v>a2_new_minus_old_on_old_a1</x:v>
      </x:c>
      <x:c r="B72" t="str">
        <x:f>"qid:-5036947181661390825"</x:f>
        <x:v>qid:-5036947181661390825</x:v>
      </x:c>
      <x:c r="C72" s="14" t="str">
        <x:v>When was the vietnam veterans war memorial built?</x:v>
      </x:c>
      <x:c r="D72" s="14" t="str">
        <x:v>self_contained</x:v>
      </x:c>
      <x:c r="E72" s="14" t="str">
        <x:v>The Vietnam Veterans Memorial was constructed and officially dedicated on November 13, 1982.</x:v>
      </x:c>
      <x:c r="F72" s="14" t="str">
        <x:v>The Vietnam Veterans Memorial was built and dedicated on November 13, 1982</x:v>
      </x:c>
      <x:c r="G72" s="14" t="n">
        <x:v>1</x:v>
      </x:c>
      <x:c r="H72" s="14" t="n">
        <x:v>1</x:v>
      </x:c>
      <x:c r="I72" s="53" t="b">
        <x:v>1</x:v>
      </x:c>
      <x:c r="J72" s="14" t="str"/>
      <x:c r="K72" s="14" t="str"/>
    </x:row>
    <x:row r="73">
      <x:c r="A73" t="str">
        <x:v>a2_new_minus_old_on_old_a1</x:v>
      </x:c>
      <x:c r="B73" t="str">
        <x:f>"qid:-5036947181661390825"</x:f>
        <x:v>qid:-5036947181661390825</x:v>
      </x:c>
      <x:c r="C73" s="14" t="str">
        <x:v>When was the vietnam veterans war memorial built?</x:v>
      </x:c>
      <x:c r="D73" s="14" t="str">
        <x:v>span_aligned</x:v>
      </x:c>
      <x:c r="E73" s="14" t="str">
        <x:v>The Vietnam Veterans Memorial was constructed and officially dedicated on November 13, 1982.</x:v>
      </x:c>
      <x:c r="F73" s="14" t="str">
        <x:v>The Vietnam Veterans Memorial was built and dedicated on November 13, 1982</x:v>
      </x:c>
      <x:c r="G73" s="14" t="n">
        <x:v>1</x:v>
      </x:c>
      <x:c r="H73" s="14" t="n">
        <x:v>1</x:v>
      </x:c>
      <x:c r="I73" s="53" t="b">
        <x:v>1</x:v>
      </x:c>
      <x:c r="J73" s="14" t="str"/>
      <x:c r="K73" s="14" t="str"/>
    </x:row>
    <x:row r="74">
      <x:c r="A74" t="str">
        <x:v>a2_new_minus_old_on_old_a1</x:v>
      </x:c>
      <x:c r="B74" t="str">
        <x:f>"qid:-5036947181661390825"</x:f>
        <x:v>qid:-5036947181661390825</x:v>
      </x:c>
      <x:c r="C74" s="14" t="str">
        <x:v>When was the vietnam veterans war memorial built?</x:v>
      </x:c>
      <x:c r="D74" s="14" t="str">
        <x:v>rewrite_faithful</x:v>
      </x:c>
      <x:c r="E74" s="14" t="str">
        <x:v>The Vietnam Veterans Memorial was constructed and officially dedicated on November 13, 1982.</x:v>
      </x:c>
      <x:c r="F74" s="14" t="str">
        <x:v>The Vietnam Veterans Memorial was built and dedicated on November 13, 1982</x:v>
      </x:c>
      <x:c r="G74" s="14" t="n">
        <x:v>1</x:v>
      </x:c>
      <x:c r="H74" s="14" t="n">
        <x:v>1</x:v>
      </x:c>
      <x:c r="I74" s="53" t="b">
        <x:v>1</x:v>
      </x:c>
      <x:c r="J74" s="14" t="str"/>
      <x:c r="K74" s="14" t="str"/>
    </x:row>
    <x:row r="75">
      <x:c r="A75" t="str">
        <x:v>a2_new_minus_old_on_old_a1</x:v>
      </x:c>
      <x:c r="B75" t="str">
        <x:f>"qid:-5116644172939113883"</x:f>
        <x:v>qid:-5116644172939113883</x:v>
      </x:c>
      <x:c r="C75" s="14" t="str">
        <x:v>Who raps in the gorillaz song clint eastwood?</x:v>
      </x:c>
      <x:c r="D75" s="14" t="str">
        <x:v>atomic</x:v>
      </x:c>
      <x:c r="E75" s="14" t="str">
        <x:v>Del the Funky Homosapien performed the rap verses for the Gorillaz song "Clint Eastwood".</x:v>
      </x:c>
      <x:c r="F75" s="14" t="str">
        <x:v>Del the Funky Homosapien raps the verses in the Gorillaz song "Clint Eastwood"</x:v>
      </x:c>
      <x:c r="G75" s="14" t="n">
        <x:v>1</x:v>
      </x:c>
      <x:c r="H75" s="14" t="n">
        <x:v>1</x:v>
      </x:c>
      <x:c r="I75" s="53" t="b">
        <x:v>1</x:v>
      </x:c>
      <x:c r="J75" s="14" t="str"/>
      <x:c r="K75" s="14" t="str"/>
    </x:row>
    <x:row r="76">
      <x:c r="A76" t="str">
        <x:v>a2_new_minus_old_on_old_a1</x:v>
      </x:c>
      <x:c r="B76" t="str">
        <x:f>"qid:-5116644172939113883"</x:f>
        <x:v>qid:-5116644172939113883</x:v>
      </x:c>
      <x:c r="C76" s="14" t="str">
        <x:v>Who raps in the gorillaz song clint eastwood?</x:v>
      </x:c>
      <x:c r="D76" s="14" t="str">
        <x:v>self_contained</x:v>
      </x:c>
      <x:c r="E76" s="14" t="str">
        <x:v>Del the Funky Homosapien performed the rap verses for the Gorillaz song "Clint Eastwood".</x:v>
      </x:c>
      <x:c r="F76" s="14" t="str">
        <x:v>Del the Funky Homosapien raps the verses in the Gorillaz song "Clint Eastwood"</x:v>
      </x:c>
      <x:c r="G76" s="14" t="n">
        <x:v>1</x:v>
      </x:c>
      <x:c r="H76" s="14" t="n">
        <x:v>1</x:v>
      </x:c>
      <x:c r="I76" s="53" t="b">
        <x:v>1</x:v>
      </x:c>
      <x:c r="J76" s="14" t="str"/>
      <x:c r="K76" s="14" t="str"/>
    </x:row>
    <x:row r="77">
      <x:c r="A77" t="str">
        <x:v>a2_new_minus_old_on_old_a1</x:v>
      </x:c>
      <x:c r="B77" t="str">
        <x:f>"qid:-5116644172939113883"</x:f>
        <x:v>qid:-5116644172939113883</x:v>
      </x:c>
      <x:c r="C77" s="14" t="str">
        <x:v>Who raps in the gorillaz song clint eastwood?</x:v>
      </x:c>
      <x:c r="D77" s="14" t="str">
        <x:v>span_aligned</x:v>
      </x:c>
      <x:c r="E77" s="14" t="str">
        <x:v>Del the Funky Homosapien performed the rap verses for the Gorillaz song "Clint Eastwood".</x:v>
      </x:c>
      <x:c r="F77" s="14" t="str">
        <x:v>Del the Funky Homosapien raps the verses in the Gorillaz song "Clint Eastwood"</x:v>
      </x:c>
      <x:c r="G77" s="14" t="n">
        <x:v>1</x:v>
      </x:c>
      <x:c r="H77" s="14" t="n">
        <x:v>1</x:v>
      </x:c>
      <x:c r="I77" s="53" t="b">
        <x:v>1</x:v>
      </x:c>
      <x:c r="J77" s="14" t="str"/>
      <x:c r="K77" s="14" t="str"/>
    </x:row>
    <x:row r="78">
      <x:c r="A78" t="str">
        <x:v>a2_new_minus_old_on_old_a1</x:v>
      </x:c>
      <x:c r="B78" t="str">
        <x:f>"qid:-5116644172939113883"</x:f>
        <x:v>qid:-5116644172939113883</x:v>
      </x:c>
      <x:c r="C78" s="14" t="str">
        <x:v>Who raps in the gorillaz song clint eastwood?</x:v>
      </x:c>
      <x:c r="D78" s="14" t="str">
        <x:v>rewrite_faithful</x:v>
      </x:c>
      <x:c r="E78" s="14" t="str">
        <x:v>Del the Funky Homosapien performed the rap verses for the Gorillaz song "Clint Eastwood".</x:v>
      </x:c>
      <x:c r="F78" s="14" t="str">
        <x:v>Del the Funky Homosapien raps the verses in the Gorillaz song "Clint Eastwood"</x:v>
      </x:c>
      <x:c r="G78" s="14" t="n">
        <x:v>1</x:v>
      </x:c>
      <x:c r="H78" s="14" t="n">
        <x:v>1</x:v>
      </x:c>
      <x:c r="I78" s="53" t="b">
        <x:v>1</x:v>
      </x:c>
      <x:c r="J78" s="14" t="str"/>
      <x:c r="K78" s="14" t="str"/>
    </x:row>
    <x:row r="79">
      <x:c r="A79" t="str">
        <x:v>a2_new_minus_old_on_old_a1</x:v>
      </x:c>
      <x:c r="B79" t="str">
        <x:f>"qid:-5333049627570569397"</x:f>
        <x:v>qid:-5333049627570569397</x:v>
      </x:c>
      <x:c r="C79" s="14" t="str">
        <x:v>When did the song can't touch this come out?</x:v>
      </x:c>
      <x:c r="D79" s="14" t="str">
        <x:v>atomic</x:v>
      </x:c>
      <x:c r="E79" s="14" t="str">
        <x:v>"U Can't Touch This" was released on February 12, 1990.</x:v>
      </x:c>
      <x:c r="F79" s="14" t="str">
        <x:v>The song "U Can't Touch This" came out on February 12, 1990</x:v>
      </x:c>
      <x:c r="G79" s="14" t="n">
        <x:v>1</x:v>
      </x:c>
      <x:c r="H79" s="14" t="n">
        <x:v>1</x:v>
      </x:c>
      <x:c r="I79" s="53" t="b">
        <x:v>1</x:v>
      </x:c>
      <x:c r="J79" s="14" t="str"/>
      <x:c r="K79" s="14" t="str"/>
    </x:row>
    <x:row r="80">
      <x:c r="A80" t="str">
        <x:v>a2_new_minus_old_on_old_a1</x:v>
      </x:c>
      <x:c r="B80" t="str">
        <x:f>"qid:-5333049627570569397"</x:f>
        <x:v>qid:-5333049627570569397</x:v>
      </x:c>
      <x:c r="C80" s="14" t="str">
        <x:v>When did the song can't touch this come out?</x:v>
      </x:c>
      <x:c r="D80" s="14" t="str">
        <x:v>self_contained</x:v>
      </x:c>
      <x:c r="E80" s="14" t="str">
        <x:v>"U Can't Touch This" was released on February 12, 1990.</x:v>
      </x:c>
      <x:c r="F80" s="14" t="str">
        <x:v>The song "U Can't Touch This" came out on February 12, 1990</x:v>
      </x:c>
      <x:c r="G80" s="14" t="n">
        <x:v>1</x:v>
      </x:c>
      <x:c r="H80" s="14" t="n">
        <x:v>1</x:v>
      </x:c>
      <x:c r="I80" s="53" t="b">
        <x:v>1</x:v>
      </x:c>
      <x:c r="J80" s="14" t="str"/>
      <x:c r="K80" s="14" t="str"/>
    </x:row>
    <x:row r="81">
      <x:c r="A81" t="str">
        <x:v>a2_new_minus_old_on_old_a1</x:v>
      </x:c>
      <x:c r="B81" t="str">
        <x:f>"qid:-5333049627570569397"</x:f>
        <x:v>qid:-5333049627570569397</x:v>
      </x:c>
      <x:c r="C81" s="14" t="str">
        <x:v>When did the song can't touch this come out?</x:v>
      </x:c>
      <x:c r="D81" s="14" t="str">
        <x:v>span_aligned</x:v>
      </x:c>
      <x:c r="E81" s="14" t="str">
        <x:v>"U Can't Touch This" was released on February 12, 1990.</x:v>
      </x:c>
      <x:c r="F81" s="14" t="str">
        <x:v>The song "U Can't Touch This" came out on February 12, 1990</x:v>
      </x:c>
      <x:c r="G81" s="14" t="n">
        <x:v>1</x:v>
      </x:c>
      <x:c r="H81" s="14" t="n">
        <x:v>1</x:v>
      </x:c>
      <x:c r="I81" s="53" t="b">
        <x:v>1</x:v>
      </x:c>
      <x:c r="J81" s="14" t="str"/>
      <x:c r="K81" s="14" t="str"/>
    </x:row>
    <x:row r="82">
      <x:c r="A82" t="str">
        <x:v>a2_new_minus_old_on_old_a1</x:v>
      </x:c>
      <x:c r="B82" t="str">
        <x:f>"qid:-5333049627570569397"</x:f>
        <x:v>qid:-5333049627570569397</x:v>
      </x:c>
      <x:c r="C82" s="14" t="str">
        <x:v>When did the song can't touch this come out?</x:v>
      </x:c>
      <x:c r="D82" s="14" t="str">
        <x:v>rewrite_faithful</x:v>
      </x:c>
      <x:c r="E82" s="14" t="str">
        <x:v>"U Can't Touch This" was released on February 12, 1990.</x:v>
      </x:c>
      <x:c r="F82" s="14" t="str">
        <x:v>The song "U Can't Touch This" came out on February 12, 1990</x:v>
      </x:c>
      <x:c r="G82" s="14" t="n">
        <x:v>1</x:v>
      </x:c>
      <x:c r="H82" s="14" t="n">
        <x:v>1</x:v>
      </x:c>
      <x:c r="I82" s="53" t="b">
        <x:v>1</x:v>
      </x:c>
      <x:c r="J82" s="14" t="str"/>
      <x:c r="K82" s="14" t="str"/>
    </x:row>
    <x:row r="83">
      <x:c r="A83" t="str">
        <x:v>a2_new_minus_old_on_old_a1</x:v>
      </x:c>
      <x:c r="B83" t="str">
        <x:f>"qid:-5564120845047915486"</x:f>
        <x:v>qid:-5564120845047915486</x:v>
      </x:c>
      <x:c r="C83" s="14" t="str">
        <x:v>Where do you find a simple gear train?</x:v>
      </x:c>
      <x:c r="D83" s="14" t="str">
        <x:v>atomic</x:v>
      </x:c>
      <x:c r="E83" s="14" t="str">
        <x:v>Gear trains are employed in mechanical systems including clocks, specifically for the going train and striking train.</x:v>
      </x:c>
      <x:c r="F83" s="14" t="str">
        <x:v>Additionally, gear trains are used in various mechanical systems, such as in clocks (both for the going train and striking train) [3]</x:v>
      </x:c>
      <x:c r="G83" s="14" t="n">
        <x:v>1</x:v>
      </x:c>
      <x:c r="H83" s="14" t="n">
        <x:v>1</x:v>
      </x:c>
      <x:c r="I83" s="53" t="b">
        <x:v>1</x:v>
      </x:c>
      <x:c r="J83" s="14" t="str"/>
      <x:c r="K83" s="14" t="str"/>
    </x:row>
    <x:row r="84">
      <x:c r="A84" t="str">
        <x:v>a2_new_minus_old_on_old_a1</x:v>
      </x:c>
      <x:c r="B84" t="str">
        <x:f>"qid:-5564120845047915486"</x:f>
        <x:v>qid:-5564120845047915486</x:v>
      </x:c>
      <x:c r="C84" s="14" t="str">
        <x:v>Where do you find a simple gear train?</x:v>
      </x:c>
      <x:c r="D84" s="14" t="str">
        <x:v>self_contained</x:v>
      </x:c>
      <x:c r="E84" s="14" t="str">
        <x:v>Gear trains are employed in mechanical systems including clocks, specifically for the going train and striking train.</x:v>
      </x:c>
      <x:c r="F84" s="14" t="str">
        <x:v>Additionally, gear trains are used in various mechanical systems, such as in clocks (both for the going train and striking train) [3]</x:v>
      </x:c>
      <x:c r="G84" s="14" t="n">
        <x:v>1</x:v>
      </x:c>
      <x:c r="H84" s="14" t="n">
        <x:v>1</x:v>
      </x:c>
      <x:c r="I84" s="53" t="b">
        <x:v>1</x:v>
      </x:c>
      <x:c r="J84" s="14" t="str"/>
      <x:c r="K84" s="14" t="str"/>
    </x:row>
    <x:row r="85">
      <x:c r="A85" t="str">
        <x:v>a2_new_minus_old_on_old_a1</x:v>
      </x:c>
      <x:c r="B85" t="str">
        <x:f>"qid:-5564120845047915486"</x:f>
        <x:v>qid:-5564120845047915486</x:v>
      </x:c>
      <x:c r="C85" s="14" t="str">
        <x:v>Where do you find a simple gear train?</x:v>
      </x:c>
      <x:c r="D85" s="14" t="str">
        <x:v>span_aligned</x:v>
      </x:c>
      <x:c r="E85" s="14" t="str">
        <x:v>Gear trains are employed in mechanical systems including clocks, specifically for the going train and striking train.</x:v>
      </x:c>
      <x:c r="F85" s="14" t="str">
        <x:v>Additionally, gear trains are used in various mechanical systems, such as in clocks (both for the going train and striking train) [3]</x:v>
      </x:c>
      <x:c r="G85" s="14" t="n">
        <x:v>1</x:v>
      </x:c>
      <x:c r="H85" s="14" t="n">
        <x:v>1</x:v>
      </x:c>
      <x:c r="I85" s="53" t="b">
        <x:v>1</x:v>
      </x:c>
      <x:c r="J85" s="14" t="str"/>
      <x:c r="K85" s="14" t="str"/>
    </x:row>
    <x:row r="86">
      <x:c r="A86" t="str">
        <x:v>a2_new_minus_old_on_old_a1</x:v>
      </x:c>
      <x:c r="B86" t="str">
        <x:f>"qid:-5564120845047915486"</x:f>
        <x:v>qid:-5564120845047915486</x:v>
      </x:c>
      <x:c r="C86" s="14" t="str">
        <x:v>Where do you find a simple gear train?</x:v>
      </x:c>
      <x:c r="D86" s="14" t="str">
        <x:v>rewrite_faithful</x:v>
      </x:c>
      <x:c r="E86" s="14" t="str">
        <x:v>Gear trains are employed in mechanical systems including clocks, specifically for the going train and striking train.</x:v>
      </x:c>
      <x:c r="F86" s="14" t="str">
        <x:v>Additionally, gear trains are used in various mechanical systems, such as in clocks (both for the going train and striking train) [3]</x:v>
      </x:c>
      <x:c r="G86" s="14" t="n">
        <x:v>1</x:v>
      </x:c>
      <x:c r="H86" s="14" t="n">
        <x:v>1</x:v>
      </x:c>
      <x:c r="I86" s="53" t="b">
        <x:v>1</x:v>
      </x:c>
      <x:c r="J86" s="14" t="str"/>
      <x:c r="K86" s="14" t="str"/>
    </x:row>
    <x:row r="87">
      <x:c r="A87" t="str">
        <x:v>a2_new_minus_old_on_old_a1</x:v>
      </x:c>
      <x:c r="B87" t="str">
        <x:f>"qid:-5564120845047915486"</x:f>
        <x:v>qid:-5564120845047915486</x:v>
      </x:c>
      <x:c r="C87" s="14" t="str">
        <x:v>Where do you find a simple gear train?</x:v>
      </x:c>
      <x:c r="D87" s="14" t="str">
        <x:v>atomic</x:v>
      </x:c>
      <x:c r="E87" s="14" t="str">
        <x:v>Georgius Agricola illustrated a simple gear train in his works.</x:v>
      </x:c>
      <x:c r="F87" s="14" t="str">
        <x:v>You can find a simple gear train in illustrations by the Renaissance scientist Georgius Agricola [2]</x:v>
      </x:c>
      <x:c r="G87" s="14" t="n">
        <x:v>1</x:v>
      </x:c>
      <x:c r="H87" s="14" t="n">
        <x:v>1</x:v>
      </x:c>
      <x:c r="I87" s="53" t="b">
        <x:v>1</x:v>
      </x:c>
      <x:c r="J87" s="14" t="str"/>
      <x:c r="K87" s="14" t="str"/>
    </x:row>
    <x:row r="88">
      <x:c r="A88" t="str">
        <x:v>a2_new_minus_old_on_old_a1</x:v>
      </x:c>
      <x:c r="B88" t="str">
        <x:f>"qid:-5564120845047915486"</x:f>
        <x:v>qid:-5564120845047915486</x:v>
      </x:c>
      <x:c r="C88" s="14" t="str">
        <x:v>Where do you find a simple gear train?</x:v>
      </x:c>
      <x:c r="D88" s="14" t="str">
        <x:v>self_contained</x:v>
      </x:c>
      <x:c r="E88" s="14" t="str">
        <x:v>Georgius Agricola illustrated a simple gear train in his works.</x:v>
      </x:c>
      <x:c r="F88" s="14" t="str">
        <x:v>You can find a simple gear train in illustrations by the Renaissance scientist Georgius Agricola [2]</x:v>
      </x:c>
      <x:c r="G88" s="14" t="n">
        <x:v>1</x:v>
      </x:c>
      <x:c r="H88" s="14" t="n">
        <x:v>1</x:v>
      </x:c>
      <x:c r="I88" s="53" t="b">
        <x:v>1</x:v>
      </x:c>
      <x:c r="J88" s="14" t="str"/>
      <x:c r="K88" s="14" t="str"/>
    </x:row>
    <x:row r="89">
      <x:c r="A89" t="str">
        <x:v>a2_new_minus_old_on_old_a1</x:v>
      </x:c>
      <x:c r="B89" t="str">
        <x:f>"qid:-5564120845047915486"</x:f>
        <x:v>qid:-5564120845047915486</x:v>
      </x:c>
      <x:c r="C89" s="14" t="str">
        <x:v>Where do you find a simple gear train?</x:v>
      </x:c>
      <x:c r="D89" s="14" t="str">
        <x:v>span_aligned</x:v>
      </x:c>
      <x:c r="E89" s="14" t="str">
        <x:v>Georgius Agricola illustrated a simple gear train in his works.</x:v>
      </x:c>
      <x:c r="F89" s="14" t="str">
        <x:v>You can find a simple gear train in illustrations by the Renaissance scientist Georgius Agricola [2]</x:v>
      </x:c>
      <x:c r="G89" s="14" t="n">
        <x:v>1</x:v>
      </x:c>
      <x:c r="H89" s="14" t="n">
        <x:v>1</x:v>
      </x:c>
      <x:c r="I89" s="53" t="b">
        <x:v>1</x:v>
      </x:c>
      <x:c r="J89" s="14" t="str"/>
      <x:c r="K89" s="14" t="str"/>
    </x:row>
    <x:row r="90">
      <x:c r="A90" t="str">
        <x:v>a2_new_minus_old_on_old_a1</x:v>
      </x:c>
      <x:c r="B90" t="str">
        <x:f>"qid:-5564120845047915486"</x:f>
        <x:v>qid:-5564120845047915486</x:v>
      </x:c>
      <x:c r="C90" s="14" t="str">
        <x:v>Where do you find a simple gear train?</x:v>
      </x:c>
      <x:c r="D90" s="14" t="str">
        <x:v>rewrite_faithful</x:v>
      </x:c>
      <x:c r="E90" s="14" t="str">
        <x:v>Georgius Agricola illustrated a simple gear train in his works.</x:v>
      </x:c>
      <x:c r="F90" s="14" t="str">
        <x:v>You can find a simple gear train in illustrations by the Renaissance scientist Georgius Agricola [2]</x:v>
      </x:c>
      <x:c r="G90" s="14" t="n">
        <x:v>1</x:v>
      </x:c>
      <x:c r="H90" s="14" t="n">
        <x:v>1</x:v>
      </x:c>
      <x:c r="I90" s="53" t="b">
        <x:v>1</x:v>
      </x:c>
      <x:c r="J90" s="14" t="str"/>
      <x:c r="K90" s="14" t="str"/>
    </x:row>
    <x:row r="91">
      <x:c r="A91" t="str">
        <x:v>a2_new_minus_old_on_old_a1</x:v>
      </x:c>
      <x:c r="B91" t="str">
        <x:f>"qid:-5564120845047915486"</x:f>
        <x:v>qid:-5564120845047915486</x:v>
      </x:c>
      <x:c r="C91" s="14" t="str">
        <x:v>Where do you find a simple gear train?</x:v>
      </x:c>
      <x:c r="D91" s="14" t="str">
        <x:v>atomic</x:v>
      </x:c>
      <x:c r="E91" s="14" t="str">
        <x:v>In the field of horology, a wheel train serves as the gear train for clocks or watches.</x:v>
      </x:c>
      <x:c r="F91" s="14" t="str">
        <x:v>and in horology where a wheel train is the gear train of a clock or watch [3]</x:v>
      </x:c>
      <x:c r="G91" s="14" t="n">
        <x:v>1</x:v>
      </x:c>
      <x:c r="H91" s="14" t="n">
        <x:v>1</x:v>
      </x:c>
      <x:c r="I91" s="53" t="b">
        <x:v>1</x:v>
      </x:c>
      <x:c r="J91" s="14" t="str"/>
      <x:c r="K91" s="14" t="str"/>
    </x:row>
    <x:row r="92">
      <x:c r="A92" t="str">
        <x:v>a2_new_minus_old_on_old_a1</x:v>
      </x:c>
      <x:c r="B92" t="str">
        <x:f>"qid:-5564120845047915486"</x:f>
        <x:v>qid:-5564120845047915486</x:v>
      </x:c>
      <x:c r="C92" s="14" t="str">
        <x:v>Where do you find a simple gear train?</x:v>
      </x:c>
      <x:c r="D92" s="14" t="str">
        <x:v>self_contained</x:v>
      </x:c>
      <x:c r="E92" s="14" t="str">
        <x:v>In the field of horology, a wheel train serves as the gear train for clocks or watches.</x:v>
      </x:c>
      <x:c r="F92" s="14" t="str">
        <x:v>and in horology where a wheel train is the gear train of a clock or watch [3]</x:v>
      </x:c>
      <x:c r="G92" s="14" t="n">
        <x:v>1</x:v>
      </x:c>
      <x:c r="H92" s="14" t="n">
        <x:v>1</x:v>
      </x:c>
      <x:c r="I92" s="53" t="b">
        <x:v>1</x:v>
      </x:c>
      <x:c r="J92" s="14" t="str"/>
      <x:c r="K92" s="14" t="str"/>
    </x:row>
    <x:row r="93">
      <x:c r="A93" t="str">
        <x:v>a2_new_minus_old_on_old_a1</x:v>
      </x:c>
      <x:c r="B93" t="str">
        <x:f>"qid:-5564120845047915486"</x:f>
        <x:v>qid:-5564120845047915486</x:v>
      </x:c>
      <x:c r="C93" s="14" t="str">
        <x:v>Where do you find a simple gear train?</x:v>
      </x:c>
      <x:c r="D93" s="14" t="str">
        <x:v>span_aligned</x:v>
      </x:c>
      <x:c r="E93" s="14" t="str">
        <x:v>In the field of horology, a wheel train serves as the gear train for clocks or watches.</x:v>
      </x:c>
      <x:c r="F93" s="14" t="str">
        <x:v>and in horology where a wheel train is the gear train of a clock or watch [3]</x:v>
      </x:c>
      <x:c r="G93" s="14" t="n">
        <x:v>1</x:v>
      </x:c>
      <x:c r="H93" s="14" t="n">
        <x:v>1</x:v>
      </x:c>
      <x:c r="I93" s="53" t="b">
        <x:v>1</x:v>
      </x:c>
      <x:c r="J93" s="14" t="str"/>
      <x:c r="K93" s="14" t="str"/>
    </x:row>
    <x:row r="94">
      <x:c r="A94" t="str">
        <x:v>a2_new_minus_old_on_old_a1</x:v>
      </x:c>
      <x:c r="B94" t="str">
        <x:f>"qid:-5564120845047915486"</x:f>
        <x:v>qid:-5564120845047915486</x:v>
      </x:c>
      <x:c r="C94" s="14" t="str">
        <x:v>Where do you find a simple gear train?</x:v>
      </x:c>
      <x:c r="D94" s="14" t="str">
        <x:v>rewrite_faithful</x:v>
      </x:c>
      <x:c r="E94" s="14" t="str">
        <x:v>In the field of horology, a wheel train serves as the gear train for clocks or watches.</x:v>
      </x:c>
      <x:c r="F94" s="14" t="str">
        <x:v>and in horology where a wheel train is the gear train of a clock or watch [3]</x:v>
      </x:c>
      <x:c r="G94" s="14" t="n">
        <x:v>1</x:v>
      </x:c>
      <x:c r="H94" s="14" t="n">
        <x:v>1</x:v>
      </x:c>
      <x:c r="I94" s="53" t="b">
        <x:v>1</x:v>
      </x:c>
      <x:c r="J94" s="14" t="str"/>
      <x:c r="K94" s="14" t="str"/>
    </x:row>
    <x:row r="95">
      <x:c r="A95" t="str">
        <x:v>a2_new_minus_old_on_old_a1</x:v>
      </x:c>
      <x:c r="B95" t="str">
        <x:f>"qid:-5564120845047915486"</x:f>
        <x:v>qid:-5564120845047915486</x:v>
      </x:c>
      <x:c r="C95" s="14" t="str">
        <x:v>Where do you find a simple gear train?</x:v>
      </x:c>
      <x:c r="D95" s="14" t="str">
        <x:v>atomic</x:v>
      </x:c>
      <x:c r="E95" s="14" t="str">
        <x:v>The illustrations by Georgius Agricola depict gear trains having cylindrical teeth.</x:v>
      </x:c>
      <x:c r="F95" s="14" t="str">
        <x:v>which show gear trains with cylindrical teeth [1]</x:v>
      </x:c>
      <x:c r="G95" s="14" t="n">
        <x:v>1</x:v>
      </x:c>
      <x:c r="H95" s="14" t="n">
        <x:v>1</x:v>
      </x:c>
      <x:c r="I95" s="53" t="b">
        <x:v>1</x:v>
      </x:c>
      <x:c r="J95" s="14" t="str">
        <x:v>span_misaligned;meaning_changed</x:v>
      </x:c>
      <x:c r="K95" s="14" t="str">
        <x:v>span_misaligned;meaning_changed</x:v>
      </x:c>
    </x:row>
    <x:row r="96">
      <x:c r="A96" t="str">
        <x:v>a2_new_minus_old_on_old_a1</x:v>
      </x:c>
      <x:c r="B96" t="str">
        <x:f>"qid:-5564120845047915486"</x:f>
        <x:v>qid:-5564120845047915486</x:v>
      </x:c>
      <x:c r="C96" s="14" t="str">
        <x:v>Where do you find a simple gear train?</x:v>
      </x:c>
      <x:c r="D96" s="14" t="str">
        <x:v>self_contained</x:v>
      </x:c>
      <x:c r="E96" s="14" t="str">
        <x:v>The illustrations by Georgius Agricola depict gear trains having cylindrical teeth.</x:v>
      </x:c>
      <x:c r="F96" s="14" t="str">
        <x:v>which show gear trains with cylindrical teeth [1]</x:v>
      </x:c>
      <x:c r="G96" s="14" t="n">
        <x:v>1</x:v>
      </x:c>
      <x:c r="H96" s="14" t="n">
        <x:v>1</x:v>
      </x:c>
      <x:c r="I96" s="53" t="b">
        <x:v>1</x:v>
      </x:c>
      <x:c r="J96" s="14" t="str">
        <x:v>span_misaligned;meaning_changed</x:v>
      </x:c>
      <x:c r="K96" s="14" t="str">
        <x:v>span_misaligned;meaning_changed</x:v>
      </x:c>
    </x:row>
    <x:row r="97">
      <x:c r="A97" t="str">
        <x:v>a2_new_minus_old_on_old_a1</x:v>
      </x:c>
      <x:c r="B97" t="str">
        <x:f>"qid:-5564120845047915486"</x:f>
        <x:v>qid:-5564120845047915486</x:v>
      </x:c>
      <x:c r="C97" s="14" t="str">
        <x:v>Where do you find a simple gear train?</x:v>
      </x:c>
      <x:c r="D97" s="14" t="str">
        <x:v>span_aligned</x:v>
      </x:c>
      <x:c r="E97" s="14" t="str">
        <x:v>The illustrations by Georgius Agricola depict gear trains having cylindrical teeth.</x:v>
      </x:c>
      <x:c r="F97" s="14" t="str">
        <x:v>which show gear trains with cylindrical teeth [1]</x:v>
      </x:c>
      <x:c r="G97" s="14" t="n">
        <x:v>0</x:v>
      </x:c>
      <x:c r="H97" s="14" t="n">
        <x:v>0</x:v>
      </x:c>
      <x:c r="I97" s="53" t="b">
        <x:v>1</x:v>
      </x:c>
      <x:c r="J97" s="14" t="str">
        <x:v>span_misaligned;meaning_changed</x:v>
      </x:c>
      <x:c r="K97" s="14" t="str">
        <x:v>span_misaligned;meaning_changed</x:v>
      </x:c>
    </x:row>
    <x:row r="98">
      <x:c r="A98" t="str">
        <x:v>a2_new_minus_old_on_old_a1</x:v>
      </x:c>
      <x:c r="B98" t="str">
        <x:f>"qid:-5564120845047915486"</x:f>
        <x:v>qid:-5564120845047915486</x:v>
      </x:c>
      <x:c r="C98" s="14" t="str">
        <x:v>Where do you find a simple gear train?</x:v>
      </x:c>
      <x:c r="D98" s="14" t="str">
        <x:v>rewrite_faithful</x:v>
      </x:c>
      <x:c r="E98" s="14" t="str">
        <x:v>The illustrations by Georgius Agricola depict gear trains having cylindrical teeth.</x:v>
      </x:c>
      <x:c r="F98" s="14" t="str">
        <x:v>which show gear trains with cylindrical teeth [1]</x:v>
      </x:c>
      <x:c r="G98" s="14" t="n">
        <x:v>0</x:v>
      </x:c>
      <x:c r="H98" s="14" t="n">
        <x:v>0</x:v>
      </x:c>
      <x:c r="I98" s="53" t="b">
        <x:v>1</x:v>
      </x:c>
      <x:c r="J98" s="14" t="str">
        <x:v>span_misaligned;meaning_changed</x:v>
      </x:c>
      <x:c r="K98" s="14" t="str">
        <x:v>span_misaligned;meaning_changed</x:v>
      </x:c>
    </x:row>
    <x:row r="99">
      <x:c r="A99" t="str">
        <x:v>a2_new_minus_old_on_old_a1</x:v>
      </x:c>
      <x:c r="B99" t="str">
        <x:f>"qid:-62521546794442829"</x:f>
        <x:v>qid:-62521546794442829</x:v>
      </x:c>
      <x:c r="C99" s="14" t="str">
        <x:v>For whom was the battle of king's mountain a victory?</x:v>
      </x:c>
      <x:c r="D99" s="14" t="str">
        <x:v>atomic</x:v>
      </x:c>
      <x:c r="E99" s="14" t="str">
        <x:v>The Patriots won the Battle of King's Mountain.</x:v>
      </x:c>
      <x:c r="F99" s="14" t="str">
        <x:v>The battle of King's Mountain was a victory for the Patriots</x:v>
      </x:c>
      <x:c r="G99" s="14" t="n">
        <x:v>1</x:v>
      </x:c>
      <x:c r="H99" s="14" t="n">
        <x:v>1</x:v>
      </x:c>
      <x:c r="I99" s="53" t="b">
        <x:v>1</x:v>
      </x:c>
      <x:c r="J99" s="14" t="str"/>
      <x:c r="K99" s="14" t="str"/>
    </x:row>
    <x:row r="100">
      <x:c r="A100" t="str">
        <x:v>a2_new_minus_old_on_old_a1</x:v>
      </x:c>
      <x:c r="B100" t="str">
        <x:f>"qid:-62521546794442829"</x:f>
        <x:v>qid:-62521546794442829</x:v>
      </x:c>
      <x:c r="C100" s="14" t="str">
        <x:v>For whom was the battle of king's mountain a victory?</x:v>
      </x:c>
      <x:c r="D100" s="14" t="str">
        <x:v>self_contained</x:v>
      </x:c>
      <x:c r="E100" s="14" t="str">
        <x:v>The Patriots won the Battle of King's Mountain.</x:v>
      </x:c>
      <x:c r="F100" s="14" t="str">
        <x:v>The battle of King's Mountain was a victory for the Patriots</x:v>
      </x:c>
      <x:c r="G100" s="14" t="n">
        <x:v>1</x:v>
      </x:c>
      <x:c r="H100" s="14" t="n">
        <x:v>1</x:v>
      </x:c>
      <x:c r="I100" s="53" t="b">
        <x:v>1</x:v>
      </x:c>
      <x:c r="J100" s="14" t="str"/>
      <x:c r="K100" s="14" t="str"/>
    </x:row>
    <x:row r="101">
      <x:c r="A101" t="str">
        <x:v>a2_new_minus_old_on_old_a1</x:v>
      </x:c>
      <x:c r="B101" t="str">
        <x:f>"qid:-62521546794442829"</x:f>
        <x:v>qid:-62521546794442829</x:v>
      </x:c>
      <x:c r="C101" s="14" t="str">
        <x:v>For whom was the battle of king's mountain a victory?</x:v>
      </x:c>
      <x:c r="D101" s="14" t="str">
        <x:v>span_aligned</x:v>
      </x:c>
      <x:c r="E101" s="14" t="str">
        <x:v>The Patriots won the Battle of King's Mountain.</x:v>
      </x:c>
      <x:c r="F101" s="14" t="str">
        <x:v>The battle of King's Mountain was a victory for the Patriots</x:v>
      </x:c>
      <x:c r="G101" s="14" t="n">
        <x:v>1</x:v>
      </x:c>
      <x:c r="H101" s="14" t="n">
        <x:v>1</x:v>
      </x:c>
      <x:c r="I101" s="53" t="b">
        <x:v>1</x:v>
      </x:c>
      <x:c r="J101" s="14" t="str"/>
      <x:c r="K101" s="14" t="str"/>
    </x:row>
    <x:row r="102">
      <x:c r="A102" t="str">
        <x:v>a2_new_minus_old_on_old_a1</x:v>
      </x:c>
      <x:c r="B102" t="str">
        <x:f>"qid:-62521546794442829"</x:f>
        <x:v>qid:-62521546794442829</x:v>
      </x:c>
      <x:c r="C102" s="14" t="str">
        <x:v>For whom was the battle of king's mountain a victory?</x:v>
      </x:c>
      <x:c r="D102" s="14" t="str">
        <x:v>rewrite_faithful</x:v>
      </x:c>
      <x:c r="E102" s="14" t="str">
        <x:v>The Patriots won the Battle of King's Mountain.</x:v>
      </x:c>
      <x:c r="F102" s="14" t="str">
        <x:v>The battle of King's Mountain was a victory for the Patriots</x:v>
      </x:c>
      <x:c r="G102" s="14" t="n">
        <x:v>1</x:v>
      </x:c>
      <x:c r="H102" s="14" t="n">
        <x:v>1</x:v>
      </x:c>
      <x:c r="I102" s="53" t="b">
        <x:v>1</x:v>
      </x:c>
      <x:c r="J102" s="14" t="str"/>
      <x:c r="K102" s="14" t="str"/>
    </x:row>
    <x:row r="103">
      <x:c r="A103" t="str">
        <x:v>a2_new_minus_old_on_old_a1</x:v>
      </x:c>
      <x:c r="B103" t="str">
        <x:f>"qid:-6702031255040326279"</x:f>
        <x:v>qid:-6702031255040326279</x:v>
      </x:c>
      <x:c r="C103" s="14" t="str">
        <x:v>Which of the animal is a carrier of h1n1?</x:v>
      </x:c>
      <x:c r="D103" s="14" t="str">
        <x:v>atomic</x:v>
      </x:c>
      <x:c r="E103" s="14" t="str">
        <x:v>Dogs, ferrets, swine (such as turkeys), and a cheetah have been reported to carry the H1N1 virus.</x:v>
      </x:c>
      <x:c r="F103" s="14" t="str">
        <x:v>Additionally, dogs, ferrets, swine (including turkeys), and a cheetah have also been reported to carry the H1N1 virus [1].</x:v>
      </x:c>
      <x:c r="G103" s="14" t="n">
        <x:v>1</x:v>
      </x:c>
      <x:c r="H103" s="14" t="n">
        <x:v>1</x:v>
      </x:c>
      <x:c r="I103" s="53" t="b">
        <x:v>1</x:v>
      </x:c>
      <x:c r="J103" s="14" t="str"/>
      <x:c r="K103" s="14" t="str"/>
    </x:row>
    <x:row r="104">
      <x:c r="A104" t="str">
        <x:v>a2_new_minus_old_on_old_a1</x:v>
      </x:c>
      <x:c r="B104" t="str">
        <x:f>"qid:-6702031255040326279"</x:f>
        <x:v>qid:-6702031255040326279</x:v>
      </x:c>
      <x:c r="C104" s="14" t="str">
        <x:v>Which of the animal is a carrier of h1n1?</x:v>
      </x:c>
      <x:c r="D104" s="14" t="str">
        <x:v>self_contained</x:v>
      </x:c>
      <x:c r="E104" s="14" t="str">
        <x:v>Dogs, ferrets, swine (such as turkeys), and a cheetah have been reported to carry the H1N1 virus.</x:v>
      </x:c>
      <x:c r="F104" s="14" t="str">
        <x:v>Additionally, dogs, ferrets, swine (including turkeys), and a cheetah have also been reported to carry the H1N1 virus [1].</x:v>
      </x:c>
      <x:c r="G104" s="14" t="n">
        <x:v>1</x:v>
      </x:c>
      <x:c r="H104" s="14" t="n">
        <x:v>1</x:v>
      </x:c>
      <x:c r="I104" s="53" t="b">
        <x:v>1</x:v>
      </x:c>
      <x:c r="J104" s="14" t="str"/>
      <x:c r="K104" s="14" t="str"/>
    </x:row>
    <x:row r="105">
      <x:c r="A105" t="str">
        <x:v>a2_new_minus_old_on_old_a1</x:v>
      </x:c>
      <x:c r="B105" t="str">
        <x:f>"qid:-6702031255040326279"</x:f>
        <x:v>qid:-6702031255040326279</x:v>
      </x:c>
      <x:c r="C105" s="14" t="str">
        <x:v>Which of the animal is a carrier of h1n1?</x:v>
      </x:c>
      <x:c r="D105" s="14" t="str">
        <x:v>span_aligned</x:v>
      </x:c>
      <x:c r="E105" s="14" t="str">
        <x:v>Dogs, ferrets, swine (such as turkeys), and a cheetah have been reported to carry the H1N1 virus.</x:v>
      </x:c>
      <x:c r="F105" s="14" t="str">
        <x:v>Additionally, dogs, ferrets, swine (including turkeys), and a cheetah have also been reported to carry the H1N1 virus [1].</x:v>
      </x:c>
      <x:c r="G105" s="14" t="n">
        <x:v>1</x:v>
      </x:c>
      <x:c r="H105" s="14" t="n">
        <x:v>1</x:v>
      </x:c>
      <x:c r="I105" s="53" t="b">
        <x:v>1</x:v>
      </x:c>
      <x:c r="J105" s="14" t="str"/>
      <x:c r="K105" s="14" t="str"/>
    </x:row>
    <x:row r="106">
      <x:c r="A106" t="str">
        <x:v>a2_new_minus_old_on_old_a1</x:v>
      </x:c>
      <x:c r="B106" t="str">
        <x:f>"qid:-6702031255040326279"</x:f>
        <x:v>qid:-6702031255040326279</x:v>
      </x:c>
      <x:c r="C106" s="14" t="str">
        <x:v>Which of the animal is a carrier of h1n1?</x:v>
      </x:c>
      <x:c r="D106" s="14" t="str">
        <x:v>rewrite_faithful</x:v>
      </x:c>
      <x:c r="E106" s="14" t="str">
        <x:v>Dogs, ferrets, swine (such as turkeys), and a cheetah have been reported to carry the H1N1 virus.</x:v>
      </x:c>
      <x:c r="F106" s="14" t="str">
        <x:v>Additionally, dogs, ferrets, swine (including turkeys), and a cheetah have also been reported to carry the H1N1 virus [1].</x:v>
      </x:c>
      <x:c r="G106" s="14" t="n">
        <x:v>1</x:v>
      </x:c>
      <x:c r="H106" s="14" t="n">
        <x:v>1</x:v>
      </x:c>
      <x:c r="I106" s="53" t="b">
        <x:v>1</x:v>
      </x:c>
      <x:c r="J106" s="14" t="str"/>
      <x:c r="K106" s="14" t="str"/>
    </x:row>
    <x:row r="107">
      <x:c r="A107" t="str">
        <x:v>a2_new_minus_old_on_old_a1</x:v>
      </x:c>
      <x:c r="B107" t="str">
        <x:f>"qid:-6702031255040326279"</x:f>
        <x:v>qid:-6702031255040326279</x:v>
      </x:c>
      <x:c r="C107" s="14" t="str">
        <x:v>Which of the animal is a carrier of h1n1?</x:v>
      </x:c>
      <x:c r="D107" s="14" t="str">
        <x:v>atomic</x:v>
      </x:c>
      <x:c r="E107" s="14" t="str">
        <x:v>Household cats can carry the H1N1 virus.</x:v>
      </x:c>
      <x:c r="F107" s="14" t="str">
        <x:v>Household cats are a carrier of H1N1 [1].</x:v>
      </x:c>
      <x:c r="G107" s="14" t="n">
        <x:v>1</x:v>
      </x:c>
      <x:c r="H107" s="14" t="n">
        <x:v>1</x:v>
      </x:c>
      <x:c r="I107" s="53" t="b">
        <x:v>1</x:v>
      </x:c>
      <x:c r="J107" s="14" t="str"/>
      <x:c r="K107" s="14" t="str"/>
    </x:row>
    <x:row r="108">
      <x:c r="A108" t="str">
        <x:v>a2_new_minus_old_on_old_a1</x:v>
      </x:c>
      <x:c r="B108" t="str">
        <x:f>"qid:-6702031255040326279"</x:f>
        <x:v>qid:-6702031255040326279</x:v>
      </x:c>
      <x:c r="C108" s="14" t="str">
        <x:v>Which of the animal is a carrier of h1n1?</x:v>
      </x:c>
      <x:c r="D108" s="14" t="str">
        <x:v>self_contained</x:v>
      </x:c>
      <x:c r="E108" s="14" t="str">
        <x:v>Household cats can carry the H1N1 virus.</x:v>
      </x:c>
      <x:c r="F108" s="14" t="str">
        <x:v>Household cats are a carrier of H1N1 [1].</x:v>
      </x:c>
      <x:c r="G108" s="14" t="n">
        <x:v>1</x:v>
      </x:c>
      <x:c r="H108" s="14" t="n">
        <x:v>1</x:v>
      </x:c>
      <x:c r="I108" s="53" t="b">
        <x:v>1</x:v>
      </x:c>
      <x:c r="J108" s="14" t="str"/>
      <x:c r="K108" s="14" t="str"/>
    </x:row>
    <x:row r="109">
      <x:c r="A109" t="str">
        <x:v>a2_new_minus_old_on_old_a1</x:v>
      </x:c>
      <x:c r="B109" t="str">
        <x:f>"qid:-6702031255040326279"</x:f>
        <x:v>qid:-6702031255040326279</x:v>
      </x:c>
      <x:c r="C109" s="14" t="str">
        <x:v>Which of the animal is a carrier of h1n1?</x:v>
      </x:c>
      <x:c r="D109" s="14" t="str">
        <x:v>span_aligned</x:v>
      </x:c>
      <x:c r="E109" s="14" t="str">
        <x:v>Household cats can carry the H1N1 virus.</x:v>
      </x:c>
      <x:c r="F109" s="14" t="str">
        <x:v>Household cats are a carrier of H1N1 [1].</x:v>
      </x:c>
      <x:c r="G109" s="14" t="n">
        <x:v>1</x:v>
      </x:c>
      <x:c r="H109" s="14" t="n">
        <x:v>1</x:v>
      </x:c>
      <x:c r="I109" s="53" t="b">
        <x:v>1</x:v>
      </x:c>
      <x:c r="J109" s="14" t="str"/>
      <x:c r="K109" s="14" t="str"/>
    </x:row>
    <x:row r="110">
      <x:c r="A110" t="str">
        <x:v>a2_new_minus_old_on_old_a1</x:v>
      </x:c>
      <x:c r="B110" t="str">
        <x:f>"qid:-6702031255040326279"</x:f>
        <x:v>qid:-6702031255040326279</x:v>
      </x:c>
      <x:c r="C110" s="14" t="str">
        <x:v>Which of the animal is a carrier of h1n1?</x:v>
      </x:c>
      <x:c r="D110" s="14" t="str">
        <x:v>rewrite_faithful</x:v>
      </x:c>
      <x:c r="E110" s="14" t="str">
        <x:v>Household cats can carry the H1N1 virus.</x:v>
      </x:c>
      <x:c r="F110" s="14" t="str">
        <x:v>Household cats are a carrier of H1N1 [1].</x:v>
      </x:c>
      <x:c r="G110" s="14" t="n">
        <x:v>1</x:v>
      </x:c>
      <x:c r="H110" s="14" t="n">
        <x:v>1</x:v>
      </x:c>
      <x:c r="I110" s="53" t="b">
        <x:v>1</x:v>
      </x:c>
      <x:c r="J110" s="14" t="str"/>
      <x:c r="K110" s="14" t="str"/>
    </x:row>
    <x:row r="111">
      <x:c r="A111" t="str">
        <x:v>a2_new_minus_old_on_old_a1</x:v>
      </x:c>
      <x:c r="B111" t="str">
        <x:f>"qid:-728189424752983312"</x:f>
        <x:v>qid:-728189424752983312</x:v>
      </x:c>
      <x:c r="C111" s="14" t="str">
        <x:v>Where did the term bye felicia come from?</x:v>
      </x:c>
      <x:c r="D111" s="14" t="str">
        <x:v>atomic</x:v>
      </x:c>
      <x:c r="E111" s="14" t="str">
        <x:v>Ice Cube, who starred and co-wrote "Friday", is credited with originating the phrase "Bye, Felicia".</x:v>
      </x:c>
      <x:c r="F111" s="14" t="str">
        <x:v>It was originally used in that film and is attributed to Ice Cube, who starred in and co-wrote the script</x:v>
      </x:c>
      <x:c r="G111" s="14" t="n">
        <x:v>1</x:v>
      </x:c>
      <x:c r="H111" s="14" t="n">
        <x:v>1</x:v>
      </x:c>
      <x:c r="I111" s="53" t="b">
        <x:v>1</x:v>
      </x:c>
      <x:c r="J111" s="14" t="str">
        <x:v>span_misaligned;meaning_changed</x:v>
      </x:c>
      <x:c r="K111" s="14" t="str">
        <x:v>span_misaligned;meaning_changed</x:v>
      </x:c>
    </x:row>
    <x:row r="112">
      <x:c r="A112" t="str">
        <x:v>a2_new_minus_old_on_old_a1</x:v>
      </x:c>
      <x:c r="B112" t="str">
        <x:f>"qid:-728189424752983312"</x:f>
        <x:v>qid:-728189424752983312</x:v>
      </x:c>
      <x:c r="C112" s="14" t="str">
        <x:v>Where did the term bye felicia come from?</x:v>
      </x:c>
      <x:c r="D112" s="14" t="str">
        <x:v>self_contained</x:v>
      </x:c>
      <x:c r="E112" s="14" t="str">
        <x:v>Ice Cube, who starred and co-wrote "Friday", is credited with originating the phrase "Bye, Felicia".</x:v>
      </x:c>
      <x:c r="F112" s="14" t="str">
        <x:v>It was originally used in that film and is attributed to Ice Cube, who starred in and co-wrote the script</x:v>
      </x:c>
      <x:c r="G112" s="14" t="n">
        <x:v>1</x:v>
      </x:c>
      <x:c r="H112" s="14" t="n">
        <x:v>1</x:v>
      </x:c>
      <x:c r="I112" s="53" t="b">
        <x:v>1</x:v>
      </x:c>
      <x:c r="J112" s="14" t="str">
        <x:v>span_misaligned;meaning_changed</x:v>
      </x:c>
      <x:c r="K112" s="14" t="str">
        <x:v>span_misaligned;meaning_changed</x:v>
      </x:c>
    </x:row>
    <x:row r="113">
      <x:c r="A113" t="str">
        <x:v>a2_new_minus_old_on_old_a1</x:v>
      </x:c>
      <x:c r="B113" t="str">
        <x:f>"qid:-728189424752983312"</x:f>
        <x:v>qid:-728189424752983312</x:v>
      </x:c>
      <x:c r="C113" s="14" t="str">
        <x:v>Where did the term bye felicia come from?</x:v>
      </x:c>
      <x:c r="D113" s="14" t="str">
        <x:v>span_aligned</x:v>
      </x:c>
      <x:c r="E113" s="14" t="str">
        <x:v>Ice Cube, who starred and co-wrote "Friday", is credited with originating the phrase "Bye, Felicia".</x:v>
      </x:c>
      <x:c r="F113" s="14" t="str">
        <x:v>It was originally used in that film and is attributed to Ice Cube, who starred in and co-wrote the script</x:v>
      </x:c>
      <x:c r="G113" s="14" t="n">
        <x:v>0</x:v>
      </x:c>
      <x:c r="H113" s="14" t="n">
        <x:v>0</x:v>
      </x:c>
      <x:c r="I113" s="53" t="b">
        <x:v>1</x:v>
      </x:c>
      <x:c r="J113" s="14" t="str">
        <x:v>span_misaligned;meaning_changed</x:v>
      </x:c>
      <x:c r="K113" s="14" t="str">
        <x:v>span_misaligned;meaning_changed</x:v>
      </x:c>
    </x:row>
    <x:row r="114">
      <x:c r="A114" t="str">
        <x:v>a2_new_minus_old_on_old_a1</x:v>
      </x:c>
      <x:c r="B114" t="str">
        <x:f>"qid:-728189424752983312"</x:f>
        <x:v>qid:-728189424752983312</x:v>
      </x:c>
      <x:c r="C114" s="14" t="str">
        <x:v>Where did the term bye felicia come from?</x:v>
      </x:c>
      <x:c r="D114" s="14" t="str">
        <x:v>rewrite_faithful</x:v>
      </x:c>
      <x:c r="E114" s="14" t="str">
        <x:v>Ice Cube, who starred and co-wrote "Friday", is credited with originating the phrase "Bye, Felicia".</x:v>
      </x:c>
      <x:c r="F114" s="14" t="str">
        <x:v>It was originally used in that film and is attributed to Ice Cube, who starred in and co-wrote the script</x:v>
      </x:c>
      <x:c r="G114" s="14" t="n">
        <x:v>0</x:v>
      </x:c>
      <x:c r="H114" s="14" t="n">
        <x:v>0</x:v>
      </x:c>
      <x:c r="I114" s="53" t="b">
        <x:v>1</x:v>
      </x:c>
      <x:c r="J114" s="14" t="str">
        <x:v>span_misaligned;meaning_changed</x:v>
      </x:c>
      <x:c r="K114" s="14" t="str">
        <x:v>span_misaligned;meaning_changed</x:v>
      </x:c>
    </x:row>
    <x:row r="115">
      <x:c r="A115" t="str">
        <x:v>a2_new_minus_old_on_old_a1</x:v>
      </x:c>
      <x:c r="B115" t="str">
        <x:f>"qid:-728189424752983312"</x:f>
        <x:v>qid:-728189424752983312</x:v>
      </x:c>
      <x:c r="C115" s="14" t="str">
        <x:v>Where did the term bye felicia come from?</x:v>
      </x:c>
      <x:c r="D115" s="14" t="str">
        <x:v>atomic</x:v>
      </x:c>
      <x:c r="E115" s="14" t="str">
        <x:v>The phrase "Bye, Felicia" originated in the 1995 film "Friday".</x:v>
      </x:c>
      <x:c r="F115" s="14" t="str">
        <x:v>The term "Bye, Felicia" came from a scene in the American stoner buddy crime comedy film "Friday" (1995)</x:v>
      </x:c>
      <x:c r="G115" s="14" t="n">
        <x:v>1</x:v>
      </x:c>
      <x:c r="H115" s="14" t="n">
        <x:v>1</x:v>
      </x:c>
      <x:c r="I115" s="53" t="b">
        <x:v>1</x:v>
      </x:c>
      <x:c r="J115" s="14" t="str"/>
      <x:c r="K115" s="14" t="str"/>
    </x:row>
    <x:row r="116">
      <x:c r="A116" t="str">
        <x:v>a2_new_minus_old_on_old_a1</x:v>
      </x:c>
      <x:c r="B116" t="str">
        <x:f>"qid:-728189424752983312"</x:f>
        <x:v>qid:-728189424752983312</x:v>
      </x:c>
      <x:c r="C116" s="14" t="str">
        <x:v>Where did the term bye felicia come from?</x:v>
      </x:c>
      <x:c r="D116" s="14" t="str">
        <x:v>self_contained</x:v>
      </x:c>
      <x:c r="E116" s="14" t="str">
        <x:v>The phrase "Bye, Felicia" originated in the 1995 film "Friday".</x:v>
      </x:c>
      <x:c r="F116" s="14" t="str">
        <x:v>The term "Bye, Felicia" came from a scene in the American stoner buddy crime comedy film "Friday" (1995)</x:v>
      </x:c>
      <x:c r="G116" s="14" t="n">
        <x:v>1</x:v>
      </x:c>
      <x:c r="H116" s="14" t="n">
        <x:v>1</x:v>
      </x:c>
      <x:c r="I116" s="53" t="b">
        <x:v>1</x:v>
      </x:c>
      <x:c r="J116" s="14" t="str"/>
      <x:c r="K116" s="14" t="str"/>
    </x:row>
    <x:row r="117">
      <x:c r="A117" t="str">
        <x:v>a2_new_minus_old_on_old_a1</x:v>
      </x:c>
      <x:c r="B117" t="str">
        <x:f>"qid:-728189424752983312"</x:f>
        <x:v>qid:-728189424752983312</x:v>
      </x:c>
      <x:c r="C117" s="14" t="str">
        <x:v>Where did the term bye felicia come from?</x:v>
      </x:c>
      <x:c r="D117" s="14" t="str">
        <x:v>span_aligned</x:v>
      </x:c>
      <x:c r="E117" s="14" t="str">
        <x:v>The phrase "Bye, Felicia" originated in the 1995 film "Friday".</x:v>
      </x:c>
      <x:c r="F117" s="14" t="str">
        <x:v>The term "Bye, Felicia" came from a scene in the American stoner buddy crime comedy film "Friday" (1995)</x:v>
      </x:c>
      <x:c r="G117" s="14" t="n">
        <x:v>1</x:v>
      </x:c>
      <x:c r="H117" s="14" t="n">
        <x:v>1</x:v>
      </x:c>
      <x:c r="I117" s="53" t="b">
        <x:v>1</x:v>
      </x:c>
      <x:c r="J117" s="14" t="str"/>
      <x:c r="K117" s="14" t="str"/>
    </x:row>
    <x:row r="118">
      <x:c r="A118" t="str">
        <x:v>a2_new_minus_old_on_old_a1</x:v>
      </x:c>
      <x:c r="B118" t="str">
        <x:f>"qid:-728189424752983312"</x:f>
        <x:v>qid:-728189424752983312</x:v>
      </x:c>
      <x:c r="C118" s="14" t="str">
        <x:v>Where did the term bye felicia come from?</x:v>
      </x:c>
      <x:c r="D118" s="14" t="str">
        <x:v>rewrite_faithful</x:v>
      </x:c>
      <x:c r="E118" s="14" t="str">
        <x:v>The phrase "Bye, Felicia" originated in the 1995 film "Friday".</x:v>
      </x:c>
      <x:c r="F118" s="14" t="str">
        <x:v>The term "Bye, Felicia" came from a scene in the American stoner buddy crime comedy film "Friday" (1995)</x:v>
      </x:c>
      <x:c r="G118" s="14" t="n">
        <x:v>1</x:v>
      </x:c>
      <x:c r="H118" s="14" t="n">
        <x:v>1</x:v>
      </x:c>
      <x:c r="I118" s="53" t="b">
        <x:v>1</x:v>
      </x:c>
      <x:c r="J118" s="14" t="str"/>
      <x:c r="K118" s="14" t="str"/>
    </x:row>
    <x:row r="119">
      <x:c r="A119" t="str">
        <x:v>a2_new_minus_old_on_old_a1</x:v>
      </x:c>
      <x:c r="B119" t="str">
        <x:f>"qid:-7824075627194227170"</x:f>
        <x:v>qid:-7824075627194227170</x:v>
      </x:c>
      <x:c r="C119" s="14" t="str">
        <x:v>When was the commission fir sc/st established?</x:v>
      </x:c>
      <x:c r="D119" s="14" t="str">
        <x:v>atomic</x:v>
      </x:c>
      <x:c r="E119" s="14" t="str">
        <x:v>Bhola Paswan Shastri served as the Chairman, and the commission initially had four other members.</x:v>
      </x:c>
      <x:c r="F119" s="14" t="str">
        <x:v>Bhola Paswan Shastri as Chairman and other four Members</x:v>
      </x:c>
      <x:c r="G119" s="14" t="n">
        <x:v>1</x:v>
      </x:c>
      <x:c r="H119" s="14" t="n">
        <x:v>1</x:v>
      </x:c>
      <x:c r="I119" s="53" t="b">
        <x:v>1</x:v>
      </x:c>
      <x:c r="J119" s="14" t="str">
        <x:v>span_misaligned;meaning_changed</x:v>
      </x:c>
      <x:c r="K119" s="14" t="str">
        <x:v>span_misaligned;meaning_changed</x:v>
      </x:c>
    </x:row>
    <x:row r="120">
      <x:c r="A120" t="str">
        <x:v>a2_new_minus_old_on_old_a1</x:v>
      </x:c>
      <x:c r="B120" t="str">
        <x:f>"qid:-7824075627194227170"</x:f>
        <x:v>qid:-7824075627194227170</x:v>
      </x:c>
      <x:c r="C120" s="14" t="str">
        <x:v>When was the commission fir sc/st established?</x:v>
      </x:c>
      <x:c r="D120" s="14" t="str">
        <x:v>self_contained</x:v>
      </x:c>
      <x:c r="E120" s="14" t="str">
        <x:v>Bhola Paswan Shastri served as the Chairman, and the commission initially had four other members.</x:v>
      </x:c>
      <x:c r="F120" s="14" t="str">
        <x:v>Bhola Paswan Shastri as Chairman and other four Members</x:v>
      </x:c>
      <x:c r="G120" s="14" t="n">
        <x:v>1</x:v>
      </x:c>
      <x:c r="H120" s="14" t="n">
        <x:v>1</x:v>
      </x:c>
      <x:c r="I120" s="53" t="b">
        <x:v>1</x:v>
      </x:c>
      <x:c r="J120" s="14" t="str">
        <x:v>span_misaligned;meaning_changed</x:v>
      </x:c>
      <x:c r="K120" s="14" t="str">
        <x:v>span_misaligned;meaning_changed</x:v>
      </x:c>
    </x:row>
    <x:row r="121">
      <x:c r="A121" t="str">
        <x:v>a2_new_minus_old_on_old_a1</x:v>
      </x:c>
      <x:c r="B121" t="str">
        <x:f>"qid:-7824075627194227170"</x:f>
        <x:v>qid:-7824075627194227170</x:v>
      </x:c>
      <x:c r="C121" s="14" t="str">
        <x:v>When was the commission fir sc/st established?</x:v>
      </x:c>
      <x:c r="D121" s="14" t="str">
        <x:v>span_aligned</x:v>
      </x:c>
      <x:c r="E121" s="14" t="str">
        <x:v>Bhola Paswan Shastri served as the Chairman, and the commission initially had four other members.</x:v>
      </x:c>
      <x:c r="F121" s="14" t="str">
        <x:v>Bhola Paswan Shastri as Chairman and other four Members</x:v>
      </x:c>
      <x:c r="G121" s="14" t="n">
        <x:v>0</x:v>
      </x:c>
      <x:c r="H121" s="14" t="n">
        <x:v>0</x:v>
      </x:c>
      <x:c r="I121" s="53" t="b">
        <x:v>1</x:v>
      </x:c>
      <x:c r="J121" s="14" t="str">
        <x:v>span_misaligned;meaning_changed</x:v>
      </x:c>
      <x:c r="K121" s="14" t="str">
        <x:v>span_misaligned;meaning_changed</x:v>
      </x:c>
    </x:row>
    <x:row r="122">
      <x:c r="A122" t="str">
        <x:v>a2_new_minus_old_on_old_a1</x:v>
      </x:c>
      <x:c r="B122" t="str">
        <x:f>"qid:-7824075627194227170"</x:f>
        <x:v>qid:-7824075627194227170</x:v>
      </x:c>
      <x:c r="C122" s="14" t="str">
        <x:v>When was the commission fir sc/st established?</x:v>
      </x:c>
      <x:c r="D122" s="14" t="str">
        <x:v>rewrite_faithful</x:v>
      </x:c>
      <x:c r="E122" s="14" t="str">
        <x:v>Bhola Paswan Shastri served as the Chairman, and the commission initially had four other members.</x:v>
      </x:c>
      <x:c r="F122" s="14" t="str">
        <x:v>Bhola Paswan Shastri as Chairman and other four Members</x:v>
      </x:c>
      <x:c r="G122" s="14" t="n">
        <x:v>0</x:v>
      </x:c>
      <x:c r="H122" s="14" t="n">
        <x:v>0</x:v>
      </x:c>
      <x:c r="I122" s="53" t="b">
        <x:v>1</x:v>
      </x:c>
      <x:c r="J122" s="14" t="str">
        <x:v>span_misaligned;meaning_changed</x:v>
      </x:c>
      <x:c r="K122" s="14" t="str">
        <x:v>span_misaligned;meaning_changed</x:v>
      </x:c>
    </x:row>
    <x:row r="123">
      <x:c r="A123" t="str">
        <x:v>a2_new_minus_old_on_old_a1</x:v>
      </x:c>
      <x:c r="B123" t="str">
        <x:f>"qid:-7824075627194227170"</x:f>
        <x:v>qid:-7824075627194227170</x:v>
      </x:c>
      <x:c r="C123" s="14" t="str">
        <x:v>When was the commission fir sc/st established?</x:v>
      </x:c>
      <x:c r="D123" s="14" t="str">
        <x:v>atomic</x:v>
      </x:c>
      <x:c r="E123" s="14" t="str">
        <x:v>The National Commission for Scheduled Castes and Scheduled Tribes was initially established in August 1978.</x:v>
      </x:c>
      <x:c r="F123" s="14" t="str">
        <x:v>The commission for SC/ST was first established in August 1978</x:v>
      </x:c>
      <x:c r="G123" s="14" t="n">
        <x:v>1</x:v>
      </x:c>
      <x:c r="H123" s="14" t="n">
        <x:v>1</x:v>
      </x:c>
      <x:c r="I123" s="53" t="b">
        <x:v>1</x:v>
      </x:c>
      <x:c r="J123" s="14" t="str"/>
      <x:c r="K123" s="14" t="str"/>
    </x:row>
    <x:row r="124">
      <x:c r="A124" t="str">
        <x:v>a2_new_minus_old_on_old_a1</x:v>
      </x:c>
      <x:c r="B124" t="str">
        <x:f>"qid:-7824075627194227170"</x:f>
        <x:v>qid:-7824075627194227170</x:v>
      </x:c>
      <x:c r="C124" s="14" t="str">
        <x:v>When was the commission fir sc/st established?</x:v>
      </x:c>
      <x:c r="D124" s="14" t="str">
        <x:v>self_contained</x:v>
      </x:c>
      <x:c r="E124" s="14" t="str">
        <x:v>The National Commission for Scheduled Castes and Scheduled Tribes was initially established in August 1978.</x:v>
      </x:c>
      <x:c r="F124" s="14" t="str">
        <x:v>The commission for SC/ST was first established in August 1978</x:v>
      </x:c>
      <x:c r="G124" s="14" t="n">
        <x:v>1</x:v>
      </x:c>
      <x:c r="H124" s="14" t="n">
        <x:v>1</x:v>
      </x:c>
      <x:c r="I124" s="53" t="b">
        <x:v>1</x:v>
      </x:c>
      <x:c r="J124" s="14" t="str"/>
      <x:c r="K124" s="14" t="str"/>
    </x:row>
    <x:row r="125">
      <x:c r="A125" t="str">
        <x:v>a2_new_minus_old_on_old_a1</x:v>
      </x:c>
      <x:c r="B125" t="str">
        <x:f>"qid:-7824075627194227170"</x:f>
        <x:v>qid:-7824075627194227170</x:v>
      </x:c>
      <x:c r="C125" s="14" t="str">
        <x:v>When was the commission fir sc/st established?</x:v>
      </x:c>
      <x:c r="D125" s="14" t="str">
        <x:v>span_aligned</x:v>
      </x:c>
      <x:c r="E125" s="14" t="str">
        <x:v>The National Commission for Scheduled Castes and Scheduled Tribes was initially established in August 1978.</x:v>
      </x:c>
      <x:c r="F125" s="14" t="str">
        <x:v>The commission for SC/ST was first established in August 1978</x:v>
      </x:c>
      <x:c r="G125" s="14" t="n">
        <x:v>1</x:v>
      </x:c>
      <x:c r="H125" s="14" t="n">
        <x:v>1</x:v>
      </x:c>
      <x:c r="I125" s="53" t="b">
        <x:v>1</x:v>
      </x:c>
      <x:c r="J125" s="14" t="str"/>
      <x:c r="K125" s="14" t="str"/>
    </x:row>
    <x:row r="126">
      <x:c r="A126" t="str">
        <x:v>a2_new_minus_old_on_old_a1</x:v>
      </x:c>
      <x:c r="B126" t="str">
        <x:f>"qid:-7824075627194227170"</x:f>
        <x:v>qid:-7824075627194227170</x:v>
      </x:c>
      <x:c r="C126" s="14" t="str">
        <x:v>When was the commission fir sc/st established?</x:v>
      </x:c>
      <x:c r="D126" s="14" t="str">
        <x:v>rewrite_faithful</x:v>
      </x:c>
      <x:c r="E126" s="14" t="str">
        <x:v>The National Commission for Scheduled Castes and Scheduled Tribes was initially established in August 1978.</x:v>
      </x:c>
      <x:c r="F126" s="14" t="str">
        <x:v>The commission for SC/ST was first established in August 1978</x:v>
      </x:c>
      <x:c r="G126" s="14" t="n">
        <x:v>1</x:v>
      </x:c>
      <x:c r="H126" s="14" t="n">
        <x:v>1</x:v>
      </x:c>
      <x:c r="I126" s="53" t="b">
        <x:v>1</x:v>
      </x:c>
      <x:c r="J126" s="14" t="str"/>
      <x:c r="K126" s="14" t="str"/>
    </x:row>
    <x:row r="127">
      <x:c r="A127" t="str">
        <x:v>a2_new_minus_old_on_old_a1</x:v>
      </x:c>
      <x:c r="B127" t="str">
        <x:f>"qid:-7824075627194227170"</x:f>
        <x:v>qid:-7824075627194227170</x:v>
      </x:c>
      <x:c r="C127" s="14" t="str">
        <x:v>When was the commission fir sc/st established?</x:v>
      </x:c>
      <x:c r="D127" s="14" t="str">
        <x:v>atomic</x:v>
      </x:c>
      <x:c r="E127" s="14" t="str">
        <x:v>The commission was reconstituted in 1992 under the 65th Amendment, maintaining the name National Commission for Scheduled Castes and Scheduled Tribes.</x:v>
      </x:c>
      <x:c r="F127" s="14" t="str">
        <x:v>it was reconstituted under the 65th Amendment as the National Commission for Scheduled Castes and Scheduled Tribes</x:v>
      </x:c>
      <x:c r="G127" s="14" t="n">
        <x:v>1</x:v>
      </x:c>
      <x:c r="H127" s="14" t="n">
        <x:v>1</x:v>
      </x:c>
      <x:c r="I127" s="53" t="b">
        <x:v>1</x:v>
      </x:c>
      <x:c r="J127" s="14" t="str">
        <x:v>unresolved_reference;span_misaligned;meaning_changed</x:v>
      </x:c>
      <x:c r="K127" s="14" t="str">
        <x:v>unresolved_reference;span_misaligned;meaning_changed</x:v>
      </x:c>
    </x:row>
    <x:row r="128">
      <x:c r="A128" t="str">
        <x:v>a2_new_minus_old_on_old_a1</x:v>
      </x:c>
      <x:c r="B128" t="str">
        <x:f>"qid:-7824075627194227170"</x:f>
        <x:v>qid:-7824075627194227170</x:v>
      </x:c>
      <x:c r="C128" s="14" t="str">
        <x:v>When was the commission fir sc/st established?</x:v>
      </x:c>
      <x:c r="D128" s="14" t="str">
        <x:v>self_contained</x:v>
      </x:c>
      <x:c r="E128" s="14" t="str">
        <x:v>The commission was reconstituted in 1992 under the 65th Amendment, maintaining the name National Commission for Scheduled Castes and Scheduled Tribes.</x:v>
      </x:c>
      <x:c r="F128" s="14" t="str">
        <x:v>it was reconstituted under the 65th Amendment as the National Commission for Scheduled Castes and Scheduled Tribes</x:v>
      </x:c>
      <x:c r="G128" s="14" t="n">
        <x:v>0</x:v>
      </x:c>
      <x:c r="H128" s="14" t="n">
        <x:v>0</x:v>
      </x:c>
      <x:c r="I128" s="53" t="b">
        <x:v>1</x:v>
      </x:c>
      <x:c r="J128" s="14" t="str">
        <x:v>unresolved_reference;span_misaligned;meaning_changed</x:v>
      </x:c>
      <x:c r="K128" s="14" t="str">
        <x:v>unresolved_reference;span_misaligned;meaning_changed</x:v>
      </x:c>
    </x:row>
    <x:row r="129">
      <x:c r="A129" t="str">
        <x:v>a2_new_minus_old_on_old_a1</x:v>
      </x:c>
      <x:c r="B129" t="str">
        <x:f>"qid:-7824075627194227170"</x:f>
        <x:v>qid:-7824075627194227170</x:v>
      </x:c>
      <x:c r="C129" s="14" t="str">
        <x:v>When was the commission fir sc/st established?</x:v>
      </x:c>
      <x:c r="D129" s="14" t="str">
        <x:v>span_aligned</x:v>
      </x:c>
      <x:c r="E129" s="14" t="str">
        <x:v>The commission was reconstituted in 1992 under the 65th Amendment, maintaining the name National Commission for Scheduled Castes and Scheduled Tribes.</x:v>
      </x:c>
      <x:c r="F129" s="14" t="str">
        <x:v>it was reconstituted under the 65th Amendment as the National Commission for Scheduled Castes and Scheduled Tribes</x:v>
      </x:c>
      <x:c r="G129" s="14" t="n">
        <x:v>0</x:v>
      </x:c>
      <x:c r="H129" s="14" t="n">
        <x:v>0</x:v>
      </x:c>
      <x:c r="I129" s="53" t="b">
        <x:v>1</x:v>
      </x:c>
      <x:c r="J129" s="14" t="str">
        <x:v>unresolved_reference;span_misaligned;meaning_changed</x:v>
      </x:c>
      <x:c r="K129" s="14" t="str">
        <x:v>unresolved_reference;span_misaligned;meaning_changed</x:v>
      </x:c>
    </x:row>
    <x:row r="130">
      <x:c r="A130" t="str">
        <x:v>a2_new_minus_old_on_old_a1</x:v>
      </x:c>
      <x:c r="B130" t="str">
        <x:f>"qid:-7824075627194227170"</x:f>
        <x:v>qid:-7824075627194227170</x:v>
      </x:c>
      <x:c r="C130" s="14" t="str">
        <x:v>When was the commission fir sc/st established?</x:v>
      </x:c>
      <x:c r="D130" s="14" t="str">
        <x:v>rewrite_faithful</x:v>
      </x:c>
      <x:c r="E130" s="14" t="str">
        <x:v>The commission was reconstituted in 1992 under the 65th Amendment, maintaining the name National Commission for Scheduled Castes and Scheduled Tribes.</x:v>
      </x:c>
      <x:c r="F130" s="14" t="str">
        <x:v>it was reconstituted under the 65th Amendment as the National Commission for Scheduled Castes and Scheduled Tribes</x:v>
      </x:c>
      <x:c r="G130" s="14" t="n">
        <x:v>0</x:v>
      </x:c>
      <x:c r="H130" s="14" t="n">
        <x:v>0</x:v>
      </x:c>
      <x:c r="I130" s="53" t="b">
        <x:v>1</x:v>
      </x:c>
      <x:c r="J130" s="14" t="str">
        <x:v>unresolved_reference;span_misaligned;meaning_changed</x:v>
      </x:c>
      <x:c r="K130" s="14" t="str">
        <x:v>unresolved_reference;span_misaligned;meaning_changed</x:v>
      </x:c>
    </x:row>
    <x:row r="131">
      <x:c r="A131" t="str">
        <x:v>a2_new_minus_old_on_old_a1</x:v>
      </x:c>
      <x:c r="B131" t="str">
        <x:f>"qid:-8286966211355378010"</x:f>
        <x:v>qid:-8286966211355378010</x:v>
      </x:c>
      <x:c r="C131" s="14" t="str">
        <x:v>What is the objective of tour de france?</x:v>
      </x:c>
      <x:c r="D131" s="14" t="str">
        <x:v>atomic</x:v>
      </x:c>
      <x:c r="E131" s="14" t="str">
        <x:v>The Tour de France aims to identify the top cyclist.</x:v>
      </x:c>
      <x:c r="F131" s="14" t="str">
        <x:v>The objective of the Tour de France is to determine the best cyclist</x:v>
      </x:c>
      <x:c r="G131" s="14" t="n">
        <x:v>1</x:v>
      </x:c>
      <x:c r="H131" s="14" t="n">
        <x:v>1</x:v>
      </x:c>
      <x:c r="I131" s="53" t="b">
        <x:v>1</x:v>
      </x:c>
      <x:c r="J131" s="14" t="str"/>
      <x:c r="K131" s="14" t="str"/>
    </x:row>
    <x:row r="132">
      <x:c r="A132" t="str">
        <x:v>a2_new_minus_old_on_old_a1</x:v>
      </x:c>
      <x:c r="B132" t="str">
        <x:f>"qid:-8286966211355378010"</x:f>
        <x:v>qid:-8286966211355378010</x:v>
      </x:c>
      <x:c r="C132" s="14" t="str">
        <x:v>What is the objective of tour de france?</x:v>
      </x:c>
      <x:c r="D132" s="14" t="str">
        <x:v>self_contained</x:v>
      </x:c>
      <x:c r="E132" s="14" t="str">
        <x:v>The Tour de France aims to identify the top cyclist.</x:v>
      </x:c>
      <x:c r="F132" s="14" t="str">
        <x:v>The objective of the Tour de France is to determine the best cyclist</x:v>
      </x:c>
      <x:c r="G132" s="14" t="n">
        <x:v>1</x:v>
      </x:c>
      <x:c r="H132" s="14" t="n">
        <x:v>1</x:v>
      </x:c>
      <x:c r="I132" s="53" t="b">
        <x:v>1</x:v>
      </x:c>
      <x:c r="J132" s="14" t="str"/>
      <x:c r="K132" s="14" t="str"/>
    </x:row>
    <x:row r="133">
      <x:c r="A133" t="str">
        <x:v>a2_new_minus_old_on_old_a1</x:v>
      </x:c>
      <x:c r="B133" t="str">
        <x:f>"qid:-8286966211355378010"</x:f>
        <x:v>qid:-8286966211355378010</x:v>
      </x:c>
      <x:c r="C133" s="14" t="str">
        <x:v>What is the objective of tour de france?</x:v>
      </x:c>
      <x:c r="D133" s="14" t="str">
        <x:v>span_aligned</x:v>
      </x:c>
      <x:c r="E133" s="14" t="str">
        <x:v>The Tour de France aims to identify the top cyclist.</x:v>
      </x:c>
      <x:c r="F133" s="14" t="str">
        <x:v>The objective of the Tour de France is to determine the best cyclist</x:v>
      </x:c>
      <x:c r="G133" s="14" t="n">
        <x:v>1</x:v>
      </x:c>
      <x:c r="H133" s="14" t="n">
        <x:v>1</x:v>
      </x:c>
      <x:c r="I133" s="53" t="b">
        <x:v>1</x:v>
      </x:c>
      <x:c r="J133" s="14" t="str"/>
      <x:c r="K133" s="14" t="str"/>
    </x:row>
    <x:row r="134">
      <x:c r="A134" t="str">
        <x:v>a2_new_minus_old_on_old_a1</x:v>
      </x:c>
      <x:c r="B134" t="str">
        <x:f>"qid:-8286966211355378010"</x:f>
        <x:v>qid:-8286966211355378010</x:v>
      </x:c>
      <x:c r="C134" s="14" t="str">
        <x:v>What is the objective of tour de france?</x:v>
      </x:c>
      <x:c r="D134" s="14" t="str">
        <x:v>rewrite_faithful</x:v>
      </x:c>
      <x:c r="E134" s="14" t="str">
        <x:v>The Tour de France aims to identify the top cyclist.</x:v>
      </x:c>
      <x:c r="F134" s="14" t="str">
        <x:v>The objective of the Tour de France is to determine the best cyclist</x:v>
      </x:c>
      <x:c r="G134" s="14" t="n">
        <x:v>1</x:v>
      </x:c>
      <x:c r="H134" s="14" t="n">
        <x:v>1</x:v>
      </x:c>
      <x:c r="I134" s="53" t="b">
        <x:v>1</x:v>
      </x:c>
      <x:c r="J134" s="14" t="str"/>
      <x:c r="K134" s="14" t="str"/>
    </x:row>
    <x:row r="135">
      <x:c r="A135" t="str">
        <x:v>a2_new_minus_old_on_old_a1</x:v>
      </x:c>
      <x:c r="B135" t="str">
        <x:f>"qid:-8286966211355378010"</x:f>
        <x:v>qid:-8286966211355378010</x:v>
      </x:c>
      <x:c r="C135" s="14" t="str">
        <x:v>What is the objective of tour de france?</x:v>
      </x:c>
      <x:c r="D135" s="14" t="str">
        <x:v>atomic</x:v>
      </x:c>
      <x:c r="E135" s="14" t="str">
        <x:v>The Tour de France is completed over a period of 23 days.</x:v>
      </x:c>
      <x:c r="F135" s="14" t="str">
        <x:v>over 23 days</x:v>
      </x:c>
      <x:c r="G135" s="14" t="n">
        <x:v>1</x:v>
      </x:c>
      <x:c r="H135" s="14" t="n">
        <x:v>1</x:v>
      </x:c>
      <x:c r="I135" s="53" t="b">
        <x:v>1</x:v>
      </x:c>
      <x:c r="J135" s="14" t="str">
        <x:v>span_misaligned;meaning_changed</x:v>
      </x:c>
      <x:c r="K135" s="14" t="str">
        <x:v>span_misaligned;meaning_changed</x:v>
      </x:c>
    </x:row>
    <x:row r="136">
      <x:c r="A136" t="str">
        <x:v>a2_new_minus_old_on_old_a1</x:v>
      </x:c>
      <x:c r="B136" t="str">
        <x:f>"qid:-8286966211355378010"</x:f>
        <x:v>qid:-8286966211355378010</x:v>
      </x:c>
      <x:c r="C136" s="14" t="str">
        <x:v>What is the objective of tour de france?</x:v>
      </x:c>
      <x:c r="D136" s="14" t="str">
        <x:v>self_contained</x:v>
      </x:c>
      <x:c r="E136" s="14" t="str">
        <x:v>The Tour de France is completed over a period of 23 days.</x:v>
      </x:c>
      <x:c r="F136" s="14" t="str">
        <x:v>over 23 days</x:v>
      </x:c>
      <x:c r="G136" s="14" t="n">
        <x:v>1</x:v>
      </x:c>
      <x:c r="H136" s="14" t="n">
        <x:v>1</x:v>
      </x:c>
      <x:c r="I136" s="53" t="b">
        <x:v>1</x:v>
      </x:c>
      <x:c r="J136" s="14" t="str">
        <x:v>span_misaligned;meaning_changed</x:v>
      </x:c>
      <x:c r="K136" s="14" t="str">
        <x:v>span_misaligned;meaning_changed</x:v>
      </x:c>
    </x:row>
    <x:row r="137">
      <x:c r="A137" t="str">
        <x:v>a2_new_minus_old_on_old_a1</x:v>
      </x:c>
      <x:c r="B137" t="str">
        <x:f>"qid:-8286966211355378010"</x:f>
        <x:v>qid:-8286966211355378010</x:v>
      </x:c>
      <x:c r="C137" s="14" t="str">
        <x:v>What is the objective of tour de france?</x:v>
      </x:c>
      <x:c r="D137" s="14" t="str">
        <x:v>span_aligned</x:v>
      </x:c>
      <x:c r="E137" s="14" t="str">
        <x:v>The Tour de France is completed over a period of 23 days.</x:v>
      </x:c>
      <x:c r="F137" s="14" t="str">
        <x:v>over 23 days</x:v>
      </x:c>
      <x:c r="G137" s="14" t="n">
        <x:v>0</x:v>
      </x:c>
      <x:c r="H137" s="14" t="n">
        <x:v>0</x:v>
      </x:c>
      <x:c r="I137" s="53" t="b">
        <x:v>1</x:v>
      </x:c>
      <x:c r="J137" s="14" t="str">
        <x:v>span_misaligned;meaning_changed</x:v>
      </x:c>
      <x:c r="K137" s="14" t="str">
        <x:v>span_misaligned;meaning_changed</x:v>
      </x:c>
    </x:row>
    <x:row r="138">
      <x:c r="A138" t="str">
        <x:v>a2_new_minus_old_on_old_a1</x:v>
      </x:c>
      <x:c r="B138" t="str">
        <x:f>"qid:-8286966211355378010"</x:f>
        <x:v>qid:-8286966211355378010</x:v>
      </x:c>
      <x:c r="C138" s="14" t="str">
        <x:v>What is the objective of tour de france?</x:v>
      </x:c>
      <x:c r="D138" s="14" t="str">
        <x:v>rewrite_faithful</x:v>
      </x:c>
      <x:c r="E138" s="14" t="str">
        <x:v>The Tour de France is completed over a period of 23 days.</x:v>
      </x:c>
      <x:c r="F138" s="14" t="str">
        <x:v>over 23 days</x:v>
      </x:c>
      <x:c r="G138" s="14" t="n">
        <x:v>0</x:v>
      </x:c>
      <x:c r="H138" s="14" t="n">
        <x:v>0</x:v>
      </x:c>
      <x:c r="I138" s="53" t="b">
        <x:v>1</x:v>
      </x:c>
      <x:c r="J138" s="14" t="str">
        <x:v>span_misaligned;meaning_changed</x:v>
      </x:c>
      <x:c r="K138" s="14" t="str">
        <x:v>span_misaligned;meaning_changed</x:v>
      </x:c>
    </x:row>
    <x:row r="139">
      <x:c r="A139" t="str">
        <x:v>a2_new_minus_old_on_old_a1</x:v>
      </x:c>
      <x:c r="B139" t="str">
        <x:f>"qid:-8286966211355378010"</x:f>
        <x:v>qid:-8286966211355378010</x:v>
      </x:c>
      <x:c r="C139" s="14" t="str">
        <x:v>What is the objective of tour de france?</x:v>
      </x:c>
      <x:c r="D139" s="14" t="str">
        <x:v>atomic</x:v>
      </x:c>
      <x:c r="E139" s="14" t="str">
        <x:v>The cyclist with the fastest overall time across all stages is declared the race leader.</x:v>
      </x:c>
      <x:c r="F139" s="14" t="str">
        <x:v>with the rider having the lowest cumulative finishing times becoming the leader of the race</x:v>
      </x:c>
      <x:c r="G139" s="14" t="n">
        <x:v>1</x:v>
      </x:c>
      <x:c r="H139" s="14" t="n">
        <x:v>1</x:v>
      </x:c>
      <x:c r="I139" s="53" t="b">
        <x:v>1</x:v>
      </x:c>
      <x:c r="J139" s="14" t="str"/>
      <x:c r="K139" s="14" t="str"/>
    </x:row>
    <x:row r="140">
      <x:c r="A140" t="str">
        <x:v>a2_new_minus_old_on_old_a1</x:v>
      </x:c>
      <x:c r="B140" t="str">
        <x:f>"qid:-8286966211355378010"</x:f>
        <x:v>qid:-8286966211355378010</x:v>
      </x:c>
      <x:c r="C140" s="14" t="str">
        <x:v>What is the objective of tour de france?</x:v>
      </x:c>
      <x:c r="D140" s="14" t="str">
        <x:v>self_contained</x:v>
      </x:c>
      <x:c r="E140" s="14" t="str">
        <x:v>The cyclist with the fastest overall time across all stages is declared the race leader.</x:v>
      </x:c>
      <x:c r="F140" s="14" t="str">
        <x:v>with the rider having the lowest cumulative finishing times becoming the leader of the race</x:v>
      </x:c>
      <x:c r="G140" s="14" t="n">
        <x:v>1</x:v>
      </x:c>
      <x:c r="H140" s="14" t="n">
        <x:v>1</x:v>
      </x:c>
      <x:c r="I140" s="53" t="b">
        <x:v>1</x:v>
      </x:c>
      <x:c r="J140" s="14" t="str"/>
      <x:c r="K140" s="14" t="str"/>
    </x:row>
    <x:row r="141">
      <x:c r="A141" t="str">
        <x:v>a2_new_minus_old_on_old_a1</x:v>
      </x:c>
      <x:c r="B141" t="str">
        <x:f>"qid:-8286966211355378010"</x:f>
        <x:v>qid:-8286966211355378010</x:v>
      </x:c>
      <x:c r="C141" s="14" t="str">
        <x:v>What is the objective of tour de france?</x:v>
      </x:c>
      <x:c r="D141" s="14" t="str">
        <x:v>span_aligned</x:v>
      </x:c>
      <x:c r="E141" s="14" t="str">
        <x:v>The cyclist with the fastest overall time across all stages is declared the race leader.</x:v>
      </x:c>
      <x:c r="F141" s="14" t="str">
        <x:v>with the rider having the lowest cumulative finishing times becoming the leader of the race</x:v>
      </x:c>
      <x:c r="G141" s="14" t="n">
        <x:v>1</x:v>
      </x:c>
      <x:c r="H141" s="14" t="n">
        <x:v>1</x:v>
      </x:c>
      <x:c r="I141" s="53" t="b">
        <x:v>1</x:v>
      </x:c>
      <x:c r="J141" s="14" t="str"/>
      <x:c r="K141" s="14" t="str"/>
    </x:row>
    <x:row r="142">
      <x:c r="A142" t="str">
        <x:v>a2_new_minus_old_on_old_a1</x:v>
      </x:c>
      <x:c r="B142" t="str">
        <x:f>"qid:-8286966211355378010"</x:f>
        <x:v>qid:-8286966211355378010</x:v>
      </x:c>
      <x:c r="C142" s="14" t="str">
        <x:v>What is the objective of tour de france?</x:v>
      </x:c>
      <x:c r="D142" s="14" t="str">
        <x:v>rewrite_faithful</x:v>
      </x:c>
      <x:c r="E142" s="14" t="str">
        <x:v>The cyclist with the fastest overall time across all stages is declared the race leader.</x:v>
      </x:c>
      <x:c r="F142" s="14" t="str">
        <x:v>with the rider having the lowest cumulative finishing times becoming the leader of the race</x:v>
      </x:c>
      <x:c r="G142" s="14" t="n">
        <x:v>1</x:v>
      </x:c>
      <x:c r="H142" s="14" t="n">
        <x:v>1</x:v>
      </x:c>
      <x:c r="I142" s="53" t="b">
        <x:v>1</x:v>
      </x:c>
      <x:c r="J142" s="14" t="str"/>
      <x:c r="K142" s="14" t="str"/>
    </x:row>
    <x:row r="143">
      <x:c r="A143" t="str">
        <x:v>a2_new_minus_old_on_old_a1</x:v>
      </x:c>
      <x:c r="B143" t="str">
        <x:f>"qid:-8286966211355378010"</x:f>
        <x:v>qid:-8286966211355378010</x:v>
      </x:c>
      <x:c r="C143" s="14" t="str">
        <x:v>What is the objective of tour de france?</x:v>
      </x:c>
      <x:c r="D143" s="14" t="str">
        <x:v>atomic</x:v>
      </x:c>
      <x:c r="E143" s="14" t="str">
        <x:v>The race consists of multiple single-day stages.</x:v>
      </x:c>
      <x:c r="F143" s="14" t="str">
        <x:v>through a series of day-long stages</x:v>
      </x:c>
      <x:c r="G143" s="14" t="n">
        <x:v>1</x:v>
      </x:c>
      <x:c r="H143" s="14" t="n">
        <x:v>1</x:v>
      </x:c>
      <x:c r="I143" s="53" t="b">
        <x:v>1</x:v>
      </x:c>
      <x:c r="J143" s="14" t="str">
        <x:v>unresolved_reference;span_misaligned;meaning_changed</x:v>
      </x:c>
      <x:c r="K143" s="14" t="str">
        <x:v>unresolved_reference;span_misaligned;meaning_changed</x:v>
      </x:c>
    </x:row>
    <x:row r="144">
      <x:c r="A144" t="str">
        <x:v>a2_new_minus_old_on_old_a1</x:v>
      </x:c>
      <x:c r="B144" t="str">
        <x:f>"qid:-8286966211355378010"</x:f>
        <x:v>qid:-8286966211355378010</x:v>
      </x:c>
      <x:c r="C144" s="14" t="str">
        <x:v>What is the objective of tour de france?</x:v>
      </x:c>
      <x:c r="D144" s="14" t="str">
        <x:v>self_contained</x:v>
      </x:c>
      <x:c r="E144" s="14" t="str">
        <x:v>The race consists of multiple single-day stages.</x:v>
      </x:c>
      <x:c r="F144" s="14" t="str">
        <x:v>through a series of day-long stages</x:v>
      </x:c>
      <x:c r="G144" s="14" t="n">
        <x:v>0</x:v>
      </x:c>
      <x:c r="H144" s="14" t="n">
        <x:v>0</x:v>
      </x:c>
      <x:c r="I144" s="53" t="b">
        <x:v>1</x:v>
      </x:c>
      <x:c r="J144" s="14" t="str">
        <x:v>unresolved_reference;span_misaligned;meaning_changed</x:v>
      </x:c>
      <x:c r="K144" s="14" t="str">
        <x:v>unresolved_reference;span_misaligned;meaning_changed</x:v>
      </x:c>
    </x:row>
    <x:row r="145">
      <x:c r="A145" t="str">
        <x:v>a2_new_minus_old_on_old_a1</x:v>
      </x:c>
      <x:c r="B145" t="str">
        <x:f>"qid:-8286966211355378010"</x:f>
        <x:v>qid:-8286966211355378010</x:v>
      </x:c>
      <x:c r="C145" s="14" t="str">
        <x:v>What is the objective of tour de france?</x:v>
      </x:c>
      <x:c r="D145" s="14" t="str">
        <x:v>span_aligned</x:v>
      </x:c>
      <x:c r="E145" s="14" t="str">
        <x:v>The race consists of multiple single-day stages.</x:v>
      </x:c>
      <x:c r="F145" s="14" t="str">
        <x:v>through a series of day-long stages</x:v>
      </x:c>
      <x:c r="G145" s="14" t="n">
        <x:v>0</x:v>
      </x:c>
      <x:c r="H145" s="14" t="n">
        <x:v>0</x:v>
      </x:c>
      <x:c r="I145" s="53" t="b">
        <x:v>1</x:v>
      </x:c>
      <x:c r="J145" s="14" t="str">
        <x:v>unresolved_reference;span_misaligned;meaning_changed</x:v>
      </x:c>
      <x:c r="K145" s="14" t="str">
        <x:v>unresolved_reference;span_misaligned;meaning_changed</x:v>
      </x:c>
    </x:row>
    <x:row r="146">
      <x:c r="A146" t="str">
        <x:v>a2_new_minus_old_on_old_a1</x:v>
      </x:c>
      <x:c r="B146" t="str">
        <x:f>"qid:-8286966211355378010"</x:f>
        <x:v>qid:-8286966211355378010</x:v>
      </x:c>
      <x:c r="C146" s="14" t="str">
        <x:v>What is the objective of tour de france?</x:v>
      </x:c>
      <x:c r="D146" s="14" t="str">
        <x:v>rewrite_faithful</x:v>
      </x:c>
      <x:c r="E146" s="14" t="str">
        <x:v>The race consists of multiple single-day stages.</x:v>
      </x:c>
      <x:c r="F146" s="14" t="str">
        <x:v>through a series of day-long stages</x:v>
      </x:c>
      <x:c r="G146" s="14" t="n">
        <x:v>0</x:v>
      </x:c>
      <x:c r="H146" s="14" t="n">
        <x:v>0</x:v>
      </x:c>
      <x:c r="I146" s="53" t="b">
        <x:v>1</x:v>
      </x:c>
      <x:c r="J146" s="14" t="str">
        <x:v>unresolved_reference;span_misaligned;meaning_changed</x:v>
      </x:c>
      <x:c r="K146" s="14" t="str">
        <x:v>unresolved_reference;span_misaligned;meaning_changed</x:v>
      </x:c>
    </x:row>
    <x:row r="147">
      <x:c r="A147" t="str">
        <x:v>a2_new_minus_old_on_old_a1</x:v>
      </x:c>
      <x:c r="B147" t="str">
        <x:f>"qid:-9141149438582194391"</x:f>
        <x:v>qid:-9141149438582194391</x:v>
      </x:c>
      <x:c r="C147" s="14" t="str">
        <x:v>Who has scored the highest number of runs in test cricket?</x:v>
      </x:c>
      <x:c r="D147" s="14" t="str">
        <x:v>atomic</x:v>
      </x:c>
      <x:c r="E147" s="14" t="str">
        <x:v>The player scored 15,921 runs in Test cricket.</x:v>
      </x:c>
      <x:c r="F147" s="14" t="str">
        <x:v>The evidence [2] indicates that the player with the highest number of runs in test cricket is the one who scored 15,921 runs in Tests</x:v>
      </x:c>
      <x:c r="G147" s="14" t="n">
        <x:v>1</x:v>
      </x:c>
      <x:c r="H147" s="14" t="n">
        <x:v>1</x:v>
      </x:c>
      <x:c r="I147" s="53" t="b">
        <x:v>1</x:v>
      </x:c>
      <x:c r="J147" s="14" t="str">
        <x:v>unresolved_reference</x:v>
      </x:c>
      <x:c r="K147" s="14" t="str">
        <x:v>unresolved_reference</x:v>
      </x:c>
    </x:row>
    <x:row r="148">
      <x:c r="A148" t="str">
        <x:v>a2_new_minus_old_on_old_a1</x:v>
      </x:c>
      <x:c r="B148" t="str">
        <x:f>"qid:-9141149438582194391"</x:f>
        <x:v>qid:-9141149438582194391</x:v>
      </x:c>
      <x:c r="C148" s="14" t="str">
        <x:v>Who has scored the highest number of runs in test cricket?</x:v>
      </x:c>
      <x:c r="D148" s="14" t="str">
        <x:v>self_contained</x:v>
      </x:c>
      <x:c r="E148" s="14" t="str">
        <x:v>The player scored 15,921 runs in Test cricket.</x:v>
      </x:c>
      <x:c r="F148" s="14" t="str">
        <x:v>The evidence [2] indicates that the player with the highest number of runs in test cricket is the one who scored 15,921 runs in Tests</x:v>
      </x:c>
      <x:c r="G148" s="14" t="n">
        <x:v>0</x:v>
      </x:c>
      <x:c r="H148" s="14" t="n">
        <x:v>0</x:v>
      </x:c>
      <x:c r="I148" s="53" t="b">
        <x:v>1</x:v>
      </x:c>
      <x:c r="J148" s="14" t="str">
        <x:v>unresolved_reference</x:v>
      </x:c>
      <x:c r="K148" s="14" t="str">
        <x:v>unresolved_reference</x:v>
      </x:c>
    </x:row>
    <x:row r="149">
      <x:c r="A149" t="str">
        <x:v>a2_new_minus_old_on_old_a1</x:v>
      </x:c>
      <x:c r="B149" t="str">
        <x:f>"qid:-9141149438582194391"</x:f>
        <x:v>qid:-9141149438582194391</x:v>
      </x:c>
      <x:c r="C149" s="14" t="str">
        <x:v>Who has scored the highest number of runs in test cricket?</x:v>
      </x:c>
      <x:c r="D149" s="14" t="str">
        <x:v>span_aligned</x:v>
      </x:c>
      <x:c r="E149" s="14" t="str">
        <x:v>The player scored 15,921 runs in Test cricket.</x:v>
      </x:c>
      <x:c r="F149" s="14" t="str">
        <x:v>The evidence [2] indicates that the player with the highest number of runs in test cricket is the one who scored 15,921 runs in Tests</x:v>
      </x:c>
      <x:c r="G149" s="14" t="n">
        <x:v>1</x:v>
      </x:c>
      <x:c r="H149" s="14" t="n">
        <x:v>1</x:v>
      </x:c>
      <x:c r="I149" s="53" t="b">
        <x:v>1</x:v>
      </x:c>
      <x:c r="J149" s="14" t="str">
        <x:v>unresolved_reference</x:v>
      </x:c>
      <x:c r="K149" s="14" t="str">
        <x:v>unresolved_reference</x:v>
      </x:c>
    </x:row>
    <x:row r="150">
      <x:c r="A150" t="str">
        <x:v>a2_new_minus_old_on_old_a1</x:v>
      </x:c>
      <x:c r="B150" t="str">
        <x:f>"qid:-9141149438582194391"</x:f>
        <x:v>qid:-9141149438582194391</x:v>
      </x:c>
      <x:c r="C150" s="14" t="str">
        <x:v>Who has scored the highest number of runs in test cricket?</x:v>
      </x:c>
      <x:c r="D150" s="14" t="str">
        <x:v>rewrite_faithful</x:v>
      </x:c>
      <x:c r="E150" s="14" t="str">
        <x:v>The player scored 15,921 runs in Test cricket.</x:v>
      </x:c>
      <x:c r="F150" s="14" t="str">
        <x:v>The evidence [2] indicates that the player with the highest number of runs in test cricket is the one who scored 15,921 runs in Tests</x:v>
      </x:c>
      <x:c r="G150" s="14" t="n">
        <x:v>1</x:v>
      </x:c>
      <x:c r="H150" s="14" t="n">
        <x:v>1</x:v>
      </x:c>
      <x:c r="I150" s="53" t="b">
        <x:v>1</x:v>
      </x:c>
      <x:c r="J150" s="14" t="str">
        <x:v>unresolved_reference</x:v>
      </x:c>
      <x:c r="K150" s="14" t="str">
        <x:v>unresolved_reference</x:v>
      </x:c>
    </x:row>
    <x:row r="151">
      <x:c r="A151" t="str">
        <x:v>a2_new_minus_old_on_old_a1</x:v>
      </x:c>
      <x:c r="B151" t="str">
        <x:f>"qid:-9141149438582194391"</x:f>
        <x:v>qid:-9141149438582194391</x:v>
      </x:c>
      <x:c r="C151" s="14" t="str">
        <x:v>Who has scored the highest number of runs in test cricket?</x:v>
      </x:c>
      <x:c r="D151" s="14" t="str">
        <x:v>atomic</x:v>
      </x:c>
      <x:c r="E151" s="14" t="str">
        <x:v>The same player also scored 18,426 runs in One-Day Internals.</x:v>
      </x:c>
      <x:c r="F151" s="14" t="str">
        <x:v>The evidence [2] indicates that the player with the highest number of runs in test cricket is the one who scored 15,921 runs in Tests, as well as 18,426 runs in One-Day Internationals.</x:v>
      </x:c>
      <x:c r="G151" s="14" t="n">
        <x:v>0</x:v>
      </x:c>
      <x:c r="H151" s="14" t="n">
        <x:v>1</x:v>
      </x:c>
      <x:c r="I151" s="53" t="b">
        <x:v>0</x:v>
      </x:c>
      <x:c r="J151" s="14" t="str">
        <x:v>multi_fact</x:v>
      </x:c>
      <x:c r="K151" s="14" t="str">
        <x:v>unresolved_reference</x:v>
      </x:c>
    </x:row>
    <x:row r="152">
      <x:c r="A152" t="str">
        <x:v>a2_new_minus_old_on_old_a1</x:v>
      </x:c>
      <x:c r="B152" t="str">
        <x:f>"qid:-9141149438582194391"</x:f>
        <x:v>qid:-9141149438582194391</x:v>
      </x:c>
      <x:c r="C152" s="14" t="str">
        <x:v>Who has scored the highest number of runs in test cricket?</x:v>
      </x:c>
      <x:c r="D152" s="14" t="str">
        <x:v>self_contained</x:v>
      </x:c>
      <x:c r="E152" s="14" t="str">
        <x:v>The same player also scored 18,426 runs in One-Day Internals.</x:v>
      </x:c>
      <x:c r="F152" s="14" t="str">
        <x:v>The evidence [2] indicates that the player with the highest number of runs in test cricket is the one who scored 15,921 runs in Tests, as well as 18,426 runs in One-Day Internationals.</x:v>
      </x:c>
      <x:c r="G152" s="14" t="n">
        <x:v>1</x:v>
      </x:c>
      <x:c r="H152" s="14" t="n">
        <x:v>0</x:v>
      </x:c>
      <x:c r="I152" s="53" t="b">
        <x:v>0</x:v>
      </x:c>
      <x:c r="J152" s="14" t="str">
        <x:v>multi_fact</x:v>
      </x:c>
      <x:c r="K152" s="14" t="str">
        <x:v>unresolved_reference</x:v>
      </x:c>
    </x:row>
    <x:row r="153">
      <x:c r="A153" t="str">
        <x:v>a2_new_minus_old_on_old_a1</x:v>
      </x:c>
      <x:c r="B153" t="str">
        <x:f>"qid:-9141149438582194391"</x:f>
        <x:v>qid:-9141149438582194391</x:v>
      </x:c>
      <x:c r="C153" s="14" t="str">
        <x:v>Who has scored the highest number of runs in test cricket?</x:v>
      </x:c>
      <x:c r="D153" s="14" t="str">
        <x:v>span_aligned</x:v>
      </x:c>
      <x:c r="E153" s="14" t="str">
        <x:v>The same player also scored 18,426 runs in One-Day Internals.</x:v>
      </x:c>
      <x:c r="F153" s="14" t="str">
        <x:v>The evidence [2] indicates that the player with the highest number of runs in test cricket is the one who scored 15,921 runs in Tests, as well as 18,426 runs in One-Day Internationals.</x:v>
      </x:c>
      <x:c r="G153" s="14" t="n">
        <x:v>1</x:v>
      </x:c>
      <x:c r="H153" s="14" t="n">
        <x:v>1</x:v>
      </x:c>
      <x:c r="I153" s="53" t="b">
        <x:v>1</x:v>
      </x:c>
      <x:c r="J153" s="14" t="str">
        <x:v>multi_fact</x:v>
      </x:c>
      <x:c r="K153" s="14" t="str">
        <x:v>unresolved_reference</x:v>
      </x:c>
    </x:row>
    <x:row r="154">
      <x:c r="A154" t="str">
        <x:v>a2_new_minus_old_on_old_a1</x:v>
      </x:c>
      <x:c r="B154" t="str">
        <x:f>"qid:-9141149438582194391"</x:f>
        <x:v>qid:-9141149438582194391</x:v>
      </x:c>
      <x:c r="C154" s="14" t="str">
        <x:v>Who has scored the highest number of runs in test cricket?</x:v>
      </x:c>
      <x:c r="D154" s="14" t="str">
        <x:v>rewrite_faithful</x:v>
      </x:c>
      <x:c r="E154" s="14" t="str">
        <x:v>The same player also scored 18,426 runs in One-Day Internals.</x:v>
      </x:c>
      <x:c r="F154" s="14" t="str">
        <x:v>The evidence [2] indicates that the player with the highest number of runs in test cricket is the one who scored 15,921 runs in Tests, as well as 18,426 runs in One-Day Internationals.</x:v>
      </x:c>
      <x:c r="G154" s="14" t="n">
        <x:v>1</x:v>
      </x:c>
      <x:c r="H154" s="14" t="n">
        <x:v>1</x:v>
      </x:c>
      <x:c r="I154" s="53" t="b">
        <x:v>1</x:v>
      </x:c>
      <x:c r="J154" s="14" t="str">
        <x:v>multi_fact</x:v>
      </x:c>
      <x:c r="K154" s="14" t="str">
        <x:v>unresolved_reference</x:v>
      </x:c>
    </x:row>
    <x:row r="155">
      <x:c r="A155" t="str">
        <x:v>a2_new_minus_old_on_old_a1</x:v>
      </x:c>
      <x:c r="B155" t="str">
        <x:f>"qid:-99543908387769967"</x:f>
        <x:v>qid:-99543908387769967</x:v>
      </x:c>
      <x:c r="C155" s="14" t="str">
        <x:v>Who does sansa marry on game of thrones?</x:v>
      </x:c>
      <x:c r="D155" s="14" t="str">
        <x:v>atomic</x:v>
      </x:c>
      <x:c r="E155" s="14" t="str">
        <x:v>Sansa Stark marries Tyrion Lannister in the television series Game of Thrones.</x:v>
      </x:c>
      <x:c r="F155" s="14" t="str">
        <x:v>Sansa marries Tyrion Lannister on Game of Thrones [5].</x:v>
      </x:c>
      <x:c r="G155" s="14" t="n">
        <x:v>1</x:v>
      </x:c>
      <x:c r="H155" s="14" t="n">
        <x:v>1</x:v>
      </x:c>
      <x:c r="I155" s="53" t="b">
        <x:v>1</x:v>
      </x:c>
      <x:c r="J155" s="14" t="str"/>
      <x:c r="K155" s="14" t="str"/>
    </x:row>
    <x:row r="156">
      <x:c r="A156" t="str">
        <x:v>a2_new_minus_old_on_old_a1</x:v>
      </x:c>
      <x:c r="B156" t="str">
        <x:f>"qid:-99543908387769967"</x:f>
        <x:v>qid:-99543908387769967</x:v>
      </x:c>
      <x:c r="C156" s="14" t="str">
        <x:v>Who does sansa marry on game of thrones?</x:v>
      </x:c>
      <x:c r="D156" s="14" t="str">
        <x:v>self_contained</x:v>
      </x:c>
      <x:c r="E156" s="14" t="str">
        <x:v>Sansa Stark marries Tyrion Lannister in the television series Game of Thrones.</x:v>
      </x:c>
      <x:c r="F156" s="14" t="str">
        <x:v>Sansa marries Tyrion Lannister on Game of Thrones [5].</x:v>
      </x:c>
      <x:c r="G156" s="14" t="n">
        <x:v>1</x:v>
      </x:c>
      <x:c r="H156" s="14" t="n">
        <x:v>1</x:v>
      </x:c>
      <x:c r="I156" s="53" t="b">
        <x:v>1</x:v>
      </x:c>
      <x:c r="J156" s="14" t="str"/>
      <x:c r="K156" s="14" t="str"/>
    </x:row>
    <x:row r="157">
      <x:c r="A157" t="str">
        <x:v>a2_new_minus_old_on_old_a1</x:v>
      </x:c>
      <x:c r="B157" t="str">
        <x:f>"qid:-99543908387769967"</x:f>
        <x:v>qid:-99543908387769967</x:v>
      </x:c>
      <x:c r="C157" s="14" t="str">
        <x:v>Who does sansa marry on game of thrones?</x:v>
      </x:c>
      <x:c r="D157" s="14" t="str">
        <x:v>span_aligned</x:v>
      </x:c>
      <x:c r="E157" s="14" t="str">
        <x:v>Sansa Stark marries Tyrion Lannister in the television series Game of Thrones.</x:v>
      </x:c>
      <x:c r="F157" s="14" t="str">
        <x:v>Sansa marries Tyrion Lannister on Game of Thrones [5].</x:v>
      </x:c>
      <x:c r="G157" s="14" t="n">
        <x:v>1</x:v>
      </x:c>
      <x:c r="H157" s="14" t="n">
        <x:v>1</x:v>
      </x:c>
      <x:c r="I157" s="53" t="b">
        <x:v>1</x:v>
      </x:c>
      <x:c r="J157" s="14" t="str"/>
      <x:c r="K157" s="14" t="str"/>
    </x:row>
    <x:row r="158">
      <x:c r="A158" t="str">
        <x:v>a2_new_minus_old_on_old_a1</x:v>
      </x:c>
      <x:c r="B158" t="str">
        <x:f>"qid:-99543908387769967"</x:f>
        <x:v>qid:-99543908387769967</x:v>
      </x:c>
      <x:c r="C158" s="14" t="str">
        <x:v>Who does sansa marry on game of thrones?</x:v>
      </x:c>
      <x:c r="D158" s="14" t="str">
        <x:v>rewrite_faithful</x:v>
      </x:c>
      <x:c r="E158" s="14" t="str">
        <x:v>Sansa Stark marries Tyrion Lannister in the television series Game of Thrones.</x:v>
      </x:c>
      <x:c r="F158" s="14" t="str">
        <x:v>Sansa marries Tyrion Lannister on Game of Thrones [5].</x:v>
      </x:c>
      <x:c r="G158" s="14" t="n">
        <x:v>1</x:v>
      </x:c>
      <x:c r="H158" s="14" t="n">
        <x:v>1</x:v>
      </x:c>
      <x:c r="I158" s="53" t="b">
        <x:v>1</x:v>
      </x:c>
      <x:c r="J158" s="14" t="str"/>
      <x:c r="K158" s="14" t="str"/>
    </x:row>
    <x:row r="159">
      <x:c r="A159" t="str">
        <x:v>a2_new_minus_old_on_old_a1</x:v>
      </x:c>
      <x:c r="B159" t="str">
        <x:f>"qid:-99543908387769967"</x:f>
        <x:v>qid:-99543908387769967</x:v>
      </x:c>
      <x:c r="C159" s="14" t="str">
        <x:v>Who does sansa marry on game of thrones?</x:v>
      </x:c>
      <x:c r="D159" s="14" t="str">
        <x:v>atomic</x:v>
      </x:c>
      <x:c r="E159" s="14" t="str">
        <x:v>Sansa Stark was initially arranged to marry Willas Tyrell.</x:v>
      </x:c>
      <x:c r="F159" s="14" t="str">
        <x:v>However, there are multiple marriages mentioned in the evidence: she is initially set to marry Willas Tyrell [1], then later marries Ramsay Bolton [4], and finally agrees to marry Tyrion Lannister [5].</x:v>
      </x:c>
      <x:c r="G159" s="14" t="n">
        <x:v>1</x:v>
      </x:c>
      <x:c r="H159" s="14" t="n">
        <x:v>1</x:v>
      </x:c>
      <x:c r="I159" s="53" t="b">
        <x:v>1</x:v>
      </x:c>
      <x:c r="J159" s="14" t="str"/>
      <x:c r="K159" s="14" t="str"/>
    </x:row>
    <x:row r="160">
      <x:c r="A160" t="str">
        <x:v>a2_new_minus_old_on_old_a1</x:v>
      </x:c>
      <x:c r="B160" t="str">
        <x:f>"qid:-99543908387769967"</x:f>
        <x:v>qid:-99543908387769967</x:v>
      </x:c>
      <x:c r="C160" s="14" t="str">
        <x:v>Who does sansa marry on game of thrones?</x:v>
      </x:c>
      <x:c r="D160" s="14" t="str">
        <x:v>self_contained</x:v>
      </x:c>
      <x:c r="E160" s="14" t="str">
        <x:v>Sansa Stark was initially arranged to marry Willas Tyrell.</x:v>
      </x:c>
      <x:c r="F160" s="14" t="str">
        <x:v>However, there are multiple marriages mentioned in the evidence: she is initially set to marry Willas Tyrell [1], then later marries Ramsay Bolton [4], and finally agrees to marry Tyrion Lannister [5].</x:v>
      </x:c>
      <x:c r="G160" s="14" t="n">
        <x:v>1</x:v>
      </x:c>
      <x:c r="H160" s="14" t="n">
        <x:v>1</x:v>
      </x:c>
      <x:c r="I160" s="53" t="b">
        <x:v>1</x:v>
      </x:c>
      <x:c r="J160" s="14" t="str"/>
      <x:c r="K160" s="14" t="str"/>
    </x:row>
    <x:row r="161">
      <x:c r="A161" t="str">
        <x:v>a2_new_minus_old_on_old_a1</x:v>
      </x:c>
      <x:c r="B161" t="str">
        <x:f>"qid:-99543908387769967"</x:f>
        <x:v>qid:-99543908387769967</x:v>
      </x:c>
      <x:c r="C161" s="14" t="str">
        <x:v>Who does sansa marry on game of thrones?</x:v>
      </x:c>
      <x:c r="D161" s="14" t="str">
        <x:v>span_aligned</x:v>
      </x:c>
      <x:c r="E161" s="14" t="str">
        <x:v>Sansa Stark was initially arranged to marry Willas Tyrell.</x:v>
      </x:c>
      <x:c r="F161" s="14" t="str">
        <x:v>However, there are multiple marriages mentioned in the evidence: she is initially set to marry Willas Tyrell [1], then later marries Ramsay Bolton [4], and finally agrees to marry Tyrion Lannister [5].</x:v>
      </x:c>
      <x:c r="G161" s="14" t="n">
        <x:v>1</x:v>
      </x:c>
      <x:c r="H161" s="14" t="n">
        <x:v>1</x:v>
      </x:c>
      <x:c r="I161" s="53" t="b">
        <x:v>1</x:v>
      </x:c>
      <x:c r="J161" s="14" t="str"/>
      <x:c r="K161" s="14" t="str"/>
    </x:row>
    <x:row r="162">
      <x:c r="A162" t="str">
        <x:v>a2_new_minus_old_on_old_a1</x:v>
      </x:c>
      <x:c r="B162" t="str">
        <x:f>"qid:-99543908387769967"</x:f>
        <x:v>qid:-99543908387769967</x:v>
      </x:c>
      <x:c r="C162" s="14" t="str">
        <x:v>Who does sansa marry on game of thrones?</x:v>
      </x:c>
      <x:c r="D162" s="14" t="str">
        <x:v>rewrite_faithful</x:v>
      </x:c>
      <x:c r="E162" s="14" t="str">
        <x:v>Sansa Stark was initially arranged to marry Willas Tyrell.</x:v>
      </x:c>
      <x:c r="F162" s="14" t="str">
        <x:v>However, there are multiple marriages mentioned in the evidence: she is initially set to marry Willas Tyrell [1], then later marries Ramsay Bolton [4], and finally agrees to marry Tyrion Lannister [5].</x:v>
      </x:c>
      <x:c r="G162" s="14" t="n">
        <x:v>1</x:v>
      </x:c>
      <x:c r="H162" s="14" t="n">
        <x:v>1</x:v>
      </x:c>
      <x:c r="I162" s="53" t="b">
        <x:v>1</x:v>
      </x:c>
      <x:c r="J162" s="14" t="str"/>
      <x:c r="K162" s="14" t="str"/>
    </x:row>
    <x:row r="163">
      <x:c r="A163" t="str">
        <x:v>a2_new_minus_old_on_old_a1</x:v>
      </x:c>
      <x:c r="B163" t="str">
        <x:f>"qid:16881061444712536"</x:f>
        <x:v>qid:16881061444712536</x:v>
      </x:c>
      <x:c r="C163" s="14" t="str">
        <x:v>Where does the amazon river start and finish?</x:v>
      </x:c>
      <x:c r="D163" s="14" t="str">
        <x:v>atomic</x:v>
      </x:c>
      <x:c r="E163" s="14" t="str">
        <x:v>The Amazon River ends at the Atlantic Ocean.</x:v>
      </x:c>
      <x:c r="F163" s="14" t="str">
        <x:v>It finishes at the Atlantic Ocean</x:v>
      </x:c>
      <x:c r="G163" s="14" t="n">
        <x:v>1</x:v>
      </x:c>
      <x:c r="H163" s="14" t="n">
        <x:v>1</x:v>
      </x:c>
      <x:c r="I163" s="53" t="b">
        <x:v>1</x:v>
      </x:c>
      <x:c r="J163" s="14" t="str">
        <x:v>span_misaligned;meaning_changed</x:v>
      </x:c>
      <x:c r="K163" s="14" t="str">
        <x:v>span_misaligned;meaning_changed</x:v>
      </x:c>
    </x:row>
    <x:row r="164">
      <x:c r="A164" t="str">
        <x:v>a2_new_minus_old_on_old_a1</x:v>
      </x:c>
      <x:c r="B164" t="str">
        <x:f>"qid:16881061444712536"</x:f>
        <x:v>qid:16881061444712536</x:v>
      </x:c>
      <x:c r="C164" s="14" t="str">
        <x:v>Where does the amazon river start and finish?</x:v>
      </x:c>
      <x:c r="D164" s="14" t="str">
        <x:v>self_contained</x:v>
      </x:c>
      <x:c r="E164" s="14" t="str">
        <x:v>The Amazon River ends at the Atlantic Ocean.</x:v>
      </x:c>
      <x:c r="F164" s="14" t="str">
        <x:v>It finishes at the Atlantic Ocean</x:v>
      </x:c>
      <x:c r="G164" s="14" t="n">
        <x:v>1</x:v>
      </x:c>
      <x:c r="H164" s="14" t="n">
        <x:v>1</x:v>
      </x:c>
      <x:c r="I164" s="53" t="b">
        <x:v>1</x:v>
      </x:c>
      <x:c r="J164" s="14" t="str">
        <x:v>span_misaligned;meaning_changed</x:v>
      </x:c>
      <x:c r="K164" s="14" t="str">
        <x:v>span_misaligned;meaning_changed</x:v>
      </x:c>
    </x:row>
    <x:row r="165">
      <x:c r="A165" t="str">
        <x:v>a2_new_minus_old_on_old_a1</x:v>
      </x:c>
      <x:c r="B165" t="str">
        <x:f>"qid:16881061444712536"</x:f>
        <x:v>qid:16881061444712536</x:v>
      </x:c>
      <x:c r="C165" s="14" t="str">
        <x:v>Where does the amazon river start and finish?</x:v>
      </x:c>
      <x:c r="D165" s="14" t="str">
        <x:v>span_aligned</x:v>
      </x:c>
      <x:c r="E165" s="14" t="str">
        <x:v>The Amazon River ends at the Atlantic Ocean.</x:v>
      </x:c>
      <x:c r="F165" s="14" t="str">
        <x:v>It finishes at the Atlantic Ocean</x:v>
      </x:c>
      <x:c r="G165" s="14" t="n">
        <x:v>0</x:v>
      </x:c>
      <x:c r="H165" s="14" t="n">
        <x:v>0</x:v>
      </x:c>
      <x:c r="I165" s="53" t="b">
        <x:v>1</x:v>
      </x:c>
      <x:c r="J165" s="14" t="str">
        <x:v>span_misaligned;meaning_changed</x:v>
      </x:c>
      <x:c r="K165" s="14" t="str">
        <x:v>span_misaligned;meaning_changed</x:v>
      </x:c>
    </x:row>
    <x:row r="166">
      <x:c r="A166" t="str">
        <x:v>a2_new_minus_old_on_old_a1</x:v>
      </x:c>
      <x:c r="B166" t="str">
        <x:f>"qid:16881061444712536"</x:f>
        <x:v>qid:16881061444712536</x:v>
      </x:c>
      <x:c r="C166" s="14" t="str">
        <x:v>Where does the amazon river start and finish?</x:v>
      </x:c>
      <x:c r="D166" s="14" t="str">
        <x:v>rewrite_faithful</x:v>
      </x:c>
      <x:c r="E166" s="14" t="str">
        <x:v>The Amazon River ends at the Atlantic Ocean.</x:v>
      </x:c>
      <x:c r="F166" s="14" t="str">
        <x:v>It finishes at the Atlantic Ocean</x:v>
      </x:c>
      <x:c r="G166" s="14" t="n">
        <x:v>0</x:v>
      </x:c>
      <x:c r="H166" s="14" t="n">
        <x:v>0</x:v>
      </x:c>
      <x:c r="I166" s="53" t="b">
        <x:v>1</x:v>
      </x:c>
      <x:c r="J166" s="14" t="str">
        <x:v>span_misaligned;meaning_changed</x:v>
      </x:c>
      <x:c r="K166" s="14" t="str">
        <x:v>span_misaligned;meaning_changed</x:v>
      </x:c>
    </x:row>
    <x:row r="167">
      <x:c r="A167" t="str">
        <x:v>a2_new_minus_old_on_old_a1</x:v>
      </x:c>
      <x:c r="B167" t="str">
        <x:f>"qid:16881061444712536"</x:f>
        <x:v>qid:16881061444712536</x:v>
      </x:c>
      <x:c r="C167" s="14" t="str">
        <x:v>Where does the amazon river start and finish?</x:v>
      </x:c>
      <x:c r="D167" s="14" t="str">
        <x:v>atomic</x:v>
      </x:c>
      <x:c r="E167" s="14" t="str">
        <x:v>The Amazon River's headwaters are located in the Cordillera Rumi Cruz, at the Mantaro River in Peru.</x:v>
      </x:c>
      <x:c r="F167" s="14" t="str">
        <x:v>The Amazon River starts at its headwaters in the Cordillera Rumi Cruz at the headwaters of the Mantaro River in Peru</x:v>
      </x:c>
      <x:c r="G167" s="14" t="n">
        <x:v>1</x:v>
      </x:c>
      <x:c r="H167" s="14" t="n">
        <x:v>1</x:v>
      </x:c>
      <x:c r="I167" s="53" t="b">
        <x:v>1</x:v>
      </x:c>
      <x:c r="J167" s="14" t="str"/>
      <x:c r="K167" s="14" t="str"/>
    </x:row>
    <x:row r="168">
      <x:c r="A168" t="str">
        <x:v>a2_new_minus_old_on_old_a1</x:v>
      </x:c>
      <x:c r="B168" t="str">
        <x:f>"qid:16881061444712536"</x:f>
        <x:v>qid:16881061444712536</x:v>
      </x:c>
      <x:c r="C168" s="14" t="str">
        <x:v>Where does the amazon river start and finish?</x:v>
      </x:c>
      <x:c r="D168" s="14" t="str">
        <x:v>self_contained</x:v>
      </x:c>
      <x:c r="E168" s="14" t="str">
        <x:v>The Amazon River's headwaters are located in the Cordillera Rumi Cruz, at the Mantaro River in Peru.</x:v>
      </x:c>
      <x:c r="F168" s="14" t="str">
        <x:v>The Amazon River starts at its headwaters in the Cordillera Rumi Cruz at the headwaters of the Mantaro River in Peru</x:v>
      </x:c>
      <x:c r="G168" s="14" t="n">
        <x:v>1</x:v>
      </x:c>
      <x:c r="H168" s="14" t="n">
        <x:v>1</x:v>
      </x:c>
      <x:c r="I168" s="53" t="b">
        <x:v>1</x:v>
      </x:c>
      <x:c r="J168" s="14" t="str"/>
      <x:c r="K168" s="14" t="str"/>
    </x:row>
    <x:row r="169">
      <x:c r="A169" t="str">
        <x:v>a2_new_minus_old_on_old_a1</x:v>
      </x:c>
      <x:c r="B169" t="str">
        <x:f>"qid:16881061444712536"</x:f>
        <x:v>qid:16881061444712536</x:v>
      </x:c>
      <x:c r="C169" s="14" t="str">
        <x:v>Where does the amazon river start and finish?</x:v>
      </x:c>
      <x:c r="D169" s="14" t="str">
        <x:v>span_aligned</x:v>
      </x:c>
      <x:c r="E169" s="14" t="str">
        <x:v>The Amazon River's headwaters are located in the Cordillera Rumi Cruz, at the Mantaro River in Peru.</x:v>
      </x:c>
      <x:c r="F169" s="14" t="str">
        <x:v>The Amazon River starts at its headwaters in the Cordillera Rumi Cruz at the headwaters of the Mantaro River in Peru</x:v>
      </x:c>
      <x:c r="G169" s="14" t="n">
        <x:v>1</x:v>
      </x:c>
      <x:c r="H169" s="14" t="n">
        <x:v>1</x:v>
      </x:c>
      <x:c r="I169" s="53" t="b">
        <x:v>1</x:v>
      </x:c>
      <x:c r="J169" s="14" t="str"/>
      <x:c r="K169" s="14" t="str"/>
    </x:row>
    <x:row r="170">
      <x:c r="A170" t="str">
        <x:v>a2_new_minus_old_on_old_a1</x:v>
      </x:c>
      <x:c r="B170" t="str">
        <x:f>"qid:16881061444712536"</x:f>
        <x:v>qid:16881061444712536</x:v>
      </x:c>
      <x:c r="C170" s="14" t="str">
        <x:v>Where does the amazon river start and finish?</x:v>
      </x:c>
      <x:c r="D170" s="14" t="str">
        <x:v>rewrite_faithful</x:v>
      </x:c>
      <x:c r="E170" s="14" t="str">
        <x:v>The Amazon River's headwaters are located in the Cordillera Rumi Cruz, at the Mantaro River in Peru.</x:v>
      </x:c>
      <x:c r="F170" s="14" t="str">
        <x:v>The Amazon River starts at its headwaters in the Cordillera Rumi Cruz at the headwaters of the Mantaro River in Peru</x:v>
      </x:c>
      <x:c r="G170" s="14" t="n">
        <x:v>1</x:v>
      </x:c>
      <x:c r="H170" s="14" t="n">
        <x:v>1</x:v>
      </x:c>
      <x:c r="I170" s="53" t="b">
        <x:v>1</x:v>
      </x:c>
      <x:c r="J170" s="14" t="str"/>
      <x:c r="K170" s="14" t="str"/>
    </x:row>
    <x:row r="171">
      <x:c r="A171" t="str">
        <x:v>a2_new_minus_old_on_old_a1</x:v>
      </x:c>
      <x:c r="B171" t="str">
        <x:f>"qid:1763163294931046731"</x:f>
        <x:v>qid:1763163294931046731</x:v>
      </x:c>
      <x:c r="C171" s="14" t="str">
        <x:v>Who played violet rutherford on leave it to beaver?</x:v>
      </x:c>
      <x:c r="D171" s="14" t="str">
        <x:v>atomic</x:v>
      </x:c>
      <x:c r="E171" s="14" t="str">
        <x:v>Veronica Cartwright portrayed the character Violet Rutherford in the television series Leave It to Beaver.</x:v>
      </x:c>
      <x:c r="F171" s="14" t="str">
        <x:v>Veronica Cartwright played Violet Rutherford on Leave It to Beaver</x:v>
      </x:c>
      <x:c r="G171" s="14" t="n">
        <x:v>1</x:v>
      </x:c>
      <x:c r="H171" s="14" t="n">
        <x:v>1</x:v>
      </x:c>
      <x:c r="I171" s="53" t="b">
        <x:v>1</x:v>
      </x:c>
      <x:c r="J171" s="14" t="str"/>
      <x:c r="K171" s="14" t="str"/>
    </x:row>
    <x:row r="172">
      <x:c r="A172" t="str">
        <x:v>a2_new_minus_old_on_old_a1</x:v>
      </x:c>
      <x:c r="B172" t="str">
        <x:f>"qid:1763163294931046731"</x:f>
        <x:v>qid:1763163294931046731</x:v>
      </x:c>
      <x:c r="C172" s="14" t="str">
        <x:v>Who played violet rutherford on leave it to beaver?</x:v>
      </x:c>
      <x:c r="D172" s="14" t="str">
        <x:v>self_contained</x:v>
      </x:c>
      <x:c r="E172" s="14" t="str">
        <x:v>Veronica Cartwright portrayed the character Violet Rutherford in the television series Leave It to Beaver.</x:v>
      </x:c>
      <x:c r="F172" s="14" t="str">
        <x:v>Veronica Cartwright played Violet Rutherford on Leave It to Beaver</x:v>
      </x:c>
      <x:c r="G172" s="14" t="n">
        <x:v>1</x:v>
      </x:c>
      <x:c r="H172" s="14" t="n">
        <x:v>1</x:v>
      </x:c>
      <x:c r="I172" s="53" t="b">
        <x:v>1</x:v>
      </x:c>
      <x:c r="J172" s="14" t="str"/>
      <x:c r="K172" s="14" t="str"/>
    </x:row>
    <x:row r="173">
      <x:c r="A173" t="str">
        <x:v>a2_new_minus_old_on_old_a1</x:v>
      </x:c>
      <x:c r="B173" t="str">
        <x:f>"qid:1763163294931046731"</x:f>
        <x:v>qid:1763163294931046731</x:v>
      </x:c>
      <x:c r="C173" s="14" t="str">
        <x:v>Who played violet rutherford on leave it to beaver?</x:v>
      </x:c>
      <x:c r="D173" s="14" t="str">
        <x:v>span_aligned</x:v>
      </x:c>
      <x:c r="E173" s="14" t="str">
        <x:v>Veronica Cartwright portrayed the character Violet Rutherford in the television series Leave It to Beaver.</x:v>
      </x:c>
      <x:c r="F173" s="14" t="str">
        <x:v>Veronica Cartwright played Violet Rutherford on Leave It to Beaver</x:v>
      </x:c>
      <x:c r="G173" s="14" t="n">
        <x:v>1</x:v>
      </x:c>
      <x:c r="H173" s="14" t="n">
        <x:v>1</x:v>
      </x:c>
      <x:c r="I173" s="53" t="b">
        <x:v>1</x:v>
      </x:c>
      <x:c r="J173" s="14" t="str"/>
      <x:c r="K173" s="14" t="str"/>
    </x:row>
    <x:row r="174">
      <x:c r="A174" t="str">
        <x:v>a2_new_minus_old_on_old_a1</x:v>
      </x:c>
      <x:c r="B174" t="str">
        <x:f>"qid:1763163294931046731"</x:f>
        <x:v>qid:1763163294931046731</x:v>
      </x:c>
      <x:c r="C174" s="14" t="str">
        <x:v>Who played violet rutherford on leave it to beaver?</x:v>
      </x:c>
      <x:c r="D174" s="14" t="str">
        <x:v>rewrite_faithful</x:v>
      </x:c>
      <x:c r="E174" s="14" t="str">
        <x:v>Veronica Cartwright portrayed the character Violet Rutherford in the television series Leave It to Beaver.</x:v>
      </x:c>
      <x:c r="F174" s="14" t="str">
        <x:v>Veronica Cartwright played Violet Rutherford on Leave It to Beaver</x:v>
      </x:c>
      <x:c r="G174" s="14" t="n">
        <x:v>1</x:v>
      </x:c>
      <x:c r="H174" s="14" t="n">
        <x:v>1</x:v>
      </x:c>
      <x:c r="I174" s="53" t="b">
        <x:v>1</x:v>
      </x:c>
      <x:c r="J174" s="14" t="str"/>
      <x:c r="K174" s="14" t="str"/>
    </x:row>
    <x:row r="175">
      <x:c r="A175" t="str">
        <x:v>a2_new_minus_old_on_old_a1</x:v>
      </x:c>
      <x:c r="B175" t="str">
        <x:f>"qid:2221044921312683785"</x:f>
        <x:v>qid:2221044921312683785</x:v>
      </x:c>
      <x:c r="C175" s="14" t="str">
        <x:v>When did the apple tv 4k come out?</x:v>
      </x:c>
      <x:c r="D175" s="14" t="str">
        <x:v>atomic</x:v>
      </x:c>
      <x:c r="E175" s="14" t="str">
        <x:v>The Apple TV 4K was officially announced by Apple on September 12, 2017.</x:v>
      </x:c>
      <x:c r="F175" s="14" t="str">
        <x:v>The Apple TV 4K was announced on September 12, 2017</x:v>
      </x:c>
      <x:c r="G175" s="14" t="n">
        <x:v>1</x:v>
      </x:c>
      <x:c r="H175" s="14" t="n">
        <x:v>1</x:v>
      </x:c>
      <x:c r="I175" s="53" t="b">
        <x:v>1</x:v>
      </x:c>
      <x:c r="J175" s="14" t="str">
        <x:v>meaning_changed</x:v>
      </x:c>
      <x:c r="K175" s="14" t="str"/>
    </x:row>
    <x:row r="176">
      <x:c r="A176" t="str">
        <x:v>a2_new_minus_old_on_old_a1</x:v>
      </x:c>
      <x:c r="B176" t="str">
        <x:f>"qid:2221044921312683785"</x:f>
        <x:v>qid:2221044921312683785</x:v>
      </x:c>
      <x:c r="C176" s="14" t="str">
        <x:v>When did the apple tv 4k come out?</x:v>
      </x:c>
      <x:c r="D176" s="14" t="str">
        <x:v>self_contained</x:v>
      </x:c>
      <x:c r="E176" s="14" t="str">
        <x:v>The Apple TV 4K was officially announced by Apple on September 12, 2017.</x:v>
      </x:c>
      <x:c r="F176" s="14" t="str">
        <x:v>The Apple TV 4K was announced on September 12, 2017</x:v>
      </x:c>
      <x:c r="G176" s="14" t="n">
        <x:v>1</x:v>
      </x:c>
      <x:c r="H176" s="14" t="n">
        <x:v>1</x:v>
      </x:c>
      <x:c r="I176" s="53" t="b">
        <x:v>1</x:v>
      </x:c>
      <x:c r="J176" s="14" t="str">
        <x:v>meaning_changed</x:v>
      </x:c>
      <x:c r="K176" s="14" t="str"/>
    </x:row>
    <x:row r="177">
      <x:c r="A177" t="str">
        <x:v>a2_new_minus_old_on_old_a1</x:v>
      </x:c>
      <x:c r="B177" t="str">
        <x:f>"qid:2221044921312683785"</x:f>
        <x:v>qid:2221044921312683785</x:v>
      </x:c>
      <x:c r="C177" s="14" t="str">
        <x:v>When did the apple tv 4k come out?</x:v>
      </x:c>
      <x:c r="D177" s="14" t="str">
        <x:v>span_aligned</x:v>
      </x:c>
      <x:c r="E177" s="14" t="str">
        <x:v>The Apple TV 4K was officially announced by Apple on September 12, 2017.</x:v>
      </x:c>
      <x:c r="F177" s="14" t="str">
        <x:v>The Apple TV 4K was announced on September 12, 2017</x:v>
      </x:c>
      <x:c r="G177" s="14" t="n">
        <x:v>1</x:v>
      </x:c>
      <x:c r="H177" s="14" t="n">
        <x:v>1</x:v>
      </x:c>
      <x:c r="I177" s="53" t="b">
        <x:v>1</x:v>
      </x:c>
      <x:c r="J177" s="14" t="str">
        <x:v>meaning_changed</x:v>
      </x:c>
      <x:c r="K177" s="14" t="str"/>
    </x:row>
    <x:row r="178">
      <x:c r="A178" t="str">
        <x:v>a2_new_minus_old_on_old_a1</x:v>
      </x:c>
      <x:c r="B178" t="str">
        <x:f>"qid:2221044921312683785"</x:f>
        <x:v>qid:2221044921312683785</x:v>
      </x:c>
      <x:c r="C178" s="14" t="str">
        <x:v>When did the apple tv 4k come out?</x:v>
      </x:c>
      <x:c r="D178" s="14" t="str">
        <x:v>rewrite_faithful</x:v>
      </x:c>
      <x:c r="E178" s="14" t="str">
        <x:v>The Apple TV 4K was officially announced by Apple on September 12, 2017.</x:v>
      </x:c>
      <x:c r="F178" s="14" t="str">
        <x:v>The Apple TV 4K was announced on September 12, 2017</x:v>
      </x:c>
      <x:c r="G178" s="14" t="n">
        <x:v>0</x:v>
      </x:c>
      <x:c r="H178" s="14" t="n">
        <x:v>1</x:v>
      </x:c>
      <x:c r="I178" s="53" t="b">
        <x:v>0</x:v>
      </x:c>
      <x:c r="J178" s="14" t="str">
        <x:v>meaning_changed</x:v>
      </x:c>
      <x:c r="K178" s="14" t="str"/>
    </x:row>
    <x:row r="179">
      <x:c r="A179" t="str">
        <x:v>a2_new_minus_old_on_old_a1</x:v>
      </x:c>
      <x:c r="B179" t="str">
        <x:f>"qid:2469112227919120438"</x:f>
        <x:v>qid:2469112227919120438</x:v>
      </x:c>
      <x:c r="C179" s="14" t="str">
        <x:v>The creation of the senate was based on the?</x:v>
      </x:c>
      <x:c r="D179" s="14" t="str">
        <x:v>atomic</x:v>
      </x:c>
      <x:c r="E179" s="14" t="str">
        <x:v>Small states refused to ratify the US Constitution without guaranteed equal representation, which led to the creation of the Senate.</x:v>
      </x:c>
      <x:c r="F179" s="14" t="str">
        <x:v>as mentioned in evidence [1]. This requirement arose from the refusal of small states to endorse the US Constitution unless they received equal representation</x:v>
      </x:c>
      <x:c r="G179" s="14" t="n">
        <x:v>1</x:v>
      </x:c>
      <x:c r="H179" s="14" t="n">
        <x:v>1</x:v>
      </x:c>
      <x:c r="I179" s="53" t="b">
        <x:v>1</x:v>
      </x:c>
      <x:c r="J179" s="14" t="str"/>
      <x:c r="K179" s="14" t="str"/>
    </x:row>
    <x:row r="180">
      <x:c r="A180" t="str">
        <x:v>a2_new_minus_old_on_old_a1</x:v>
      </x:c>
      <x:c r="B180" t="str">
        <x:f>"qid:2469112227919120438"</x:f>
        <x:v>qid:2469112227919120438</x:v>
      </x:c>
      <x:c r="C180" s="14" t="str">
        <x:v>The creation of the senate was based on the?</x:v>
      </x:c>
      <x:c r="D180" s="14" t="str">
        <x:v>self_contained</x:v>
      </x:c>
      <x:c r="E180" s="14" t="str">
        <x:v>Small states refused to ratify the US Constitution without guaranteed equal representation, which led to the creation of the Senate.</x:v>
      </x:c>
      <x:c r="F180" s="14" t="str">
        <x:v>as mentioned in evidence [1]. This requirement arose from the refusal of small states to endorse the US Constitution unless they received equal representation</x:v>
      </x:c>
      <x:c r="G180" s="14" t="n">
        <x:v>1</x:v>
      </x:c>
      <x:c r="H180" s="14" t="n">
        <x:v>1</x:v>
      </x:c>
      <x:c r="I180" s="53" t="b">
        <x:v>1</x:v>
      </x:c>
      <x:c r="J180" s="14" t="str"/>
      <x:c r="K180" s="14" t="str"/>
    </x:row>
    <x:row r="181">
      <x:c r="A181" t="str">
        <x:v>a2_new_minus_old_on_old_a1</x:v>
      </x:c>
      <x:c r="B181" t="str">
        <x:f>"qid:2469112227919120438"</x:f>
        <x:v>qid:2469112227919120438</x:v>
      </x:c>
      <x:c r="C181" s="14" t="str">
        <x:v>The creation of the senate was based on the?</x:v>
      </x:c>
      <x:c r="D181" s="14" t="str">
        <x:v>span_aligned</x:v>
      </x:c>
      <x:c r="E181" s="14" t="str">
        <x:v>Small states refused to ratify the US Constitution without guaranteed equal representation, which led to the creation of the Senate.</x:v>
      </x:c>
      <x:c r="F181" s="14" t="str">
        <x:v>as mentioned in evidence [1]. This requirement arose from the refusal of small states to endorse the US Constitution unless they received equal representation</x:v>
      </x:c>
      <x:c r="G181" s="14" t="n">
        <x:v>1</x:v>
      </x:c>
      <x:c r="H181" s="14" t="n">
        <x:v>1</x:v>
      </x:c>
      <x:c r="I181" s="53" t="b">
        <x:v>1</x:v>
      </x:c>
      <x:c r="J181" s="14" t="str"/>
      <x:c r="K181" s="14" t="str"/>
    </x:row>
    <x:row r="182">
      <x:c r="A182" t="str">
        <x:v>a2_new_minus_old_on_old_a1</x:v>
      </x:c>
      <x:c r="B182" t="str">
        <x:f>"qid:2469112227919120438"</x:f>
        <x:v>qid:2469112227919120438</x:v>
      </x:c>
      <x:c r="C182" s="14" t="str">
        <x:v>The creation of the senate was based on the?</x:v>
      </x:c>
      <x:c r="D182" s="14" t="str">
        <x:v>rewrite_faithful</x:v>
      </x:c>
      <x:c r="E182" s="14" t="str">
        <x:v>Small states refused to ratify the US Constitution without guaranteed equal representation, which led to the creation of the Senate.</x:v>
      </x:c>
      <x:c r="F182" s="14" t="str">
        <x:v>as mentioned in evidence [1]. This requirement arose from the refusal of small states to endorse the US Constitution unless they received equal representation</x:v>
      </x:c>
      <x:c r="G182" s="14" t="n">
        <x:v>1</x:v>
      </x:c>
      <x:c r="H182" s="14" t="n">
        <x:v>1</x:v>
      </x:c>
      <x:c r="I182" s="53" t="b">
        <x:v>1</x:v>
      </x:c>
      <x:c r="J182" s="14" t="str"/>
      <x:c r="K182" s="14" t="str"/>
    </x:row>
    <x:row r="183">
      <x:c r="A183" t="str">
        <x:v>a2_new_minus_old_on_old_a1</x:v>
      </x:c>
      <x:c r="B183" t="str">
        <x:f>"qid:2469112227919120438"</x:f>
        <x:v>qid:2469112227919120438</x:v>
      </x:c>
      <x:c r="C183" s="14" t="str">
        <x:v>The creation of the senate was based on the?</x:v>
      </x:c>
      <x:c r="D183" s="14" t="str">
        <x:v>atomic</x:v>
      </x:c>
      <x:c r="E183" s="14" t="str">
        <x:v>The Senate was created to ensure equal representation for small states.</x:v>
      </x:c>
      <x:c r="F183" s="14" t="str">
        <x:v>which led to the Senate's establishment to ensure this balance [1]</x:v>
      </x:c>
      <x:c r="G183" s="14" t="n">
        <x:v>1</x:v>
      </x:c>
      <x:c r="H183" s="14" t="n">
        <x:v>1</x:v>
      </x:c>
      <x:c r="I183" s="53" t="b">
        <x:v>1</x:v>
      </x:c>
      <x:c r="J183" s="14" t="str">
        <x:v>span_misaligned;meaning_changed</x:v>
      </x:c>
      <x:c r="K183" s="14" t="str">
        <x:v>span_misaligned;meaning_changed</x:v>
      </x:c>
    </x:row>
    <x:row r="184">
      <x:c r="A184" t="str">
        <x:v>a2_new_minus_old_on_old_a1</x:v>
      </x:c>
      <x:c r="B184" t="str">
        <x:f>"qid:2469112227919120438"</x:f>
        <x:v>qid:2469112227919120438</x:v>
      </x:c>
      <x:c r="C184" s="14" t="str">
        <x:v>The creation of the senate was based on the?</x:v>
      </x:c>
      <x:c r="D184" s="14" t="str">
        <x:v>self_contained</x:v>
      </x:c>
      <x:c r="E184" s="14" t="str">
        <x:v>The Senate was created to ensure equal representation for small states.</x:v>
      </x:c>
      <x:c r="F184" s="14" t="str">
        <x:v>which led to the Senate's establishment to ensure this balance [1]</x:v>
      </x:c>
      <x:c r="G184" s="14" t="n">
        <x:v>1</x:v>
      </x:c>
      <x:c r="H184" s="14" t="n">
        <x:v>1</x:v>
      </x:c>
      <x:c r="I184" s="53" t="b">
        <x:v>1</x:v>
      </x:c>
      <x:c r="J184" s="14" t="str">
        <x:v>span_misaligned;meaning_changed</x:v>
      </x:c>
      <x:c r="K184" s="14" t="str">
        <x:v>span_misaligned;meaning_changed</x:v>
      </x:c>
    </x:row>
    <x:row r="185">
      <x:c r="A185" t="str">
        <x:v>a2_new_minus_old_on_old_a1</x:v>
      </x:c>
      <x:c r="B185" t="str">
        <x:f>"qid:2469112227919120438"</x:f>
        <x:v>qid:2469112227919120438</x:v>
      </x:c>
      <x:c r="C185" s="14" t="str">
        <x:v>The creation of the senate was based on the?</x:v>
      </x:c>
      <x:c r="D185" s="14" t="str">
        <x:v>span_aligned</x:v>
      </x:c>
      <x:c r="E185" s="14" t="str">
        <x:v>The Senate was created to ensure equal representation for small states.</x:v>
      </x:c>
      <x:c r="F185" s="14" t="str">
        <x:v>which led to the Senate's establishment to ensure this balance [1]</x:v>
      </x:c>
      <x:c r="G185" s="14" t="n">
        <x:v>0</x:v>
      </x:c>
      <x:c r="H185" s="14" t="n">
        <x:v>0</x:v>
      </x:c>
      <x:c r="I185" s="53" t="b">
        <x:v>1</x:v>
      </x:c>
      <x:c r="J185" s="14" t="str">
        <x:v>span_misaligned;meaning_changed</x:v>
      </x:c>
      <x:c r="K185" s="14" t="str">
        <x:v>span_misaligned;meaning_changed</x:v>
      </x:c>
    </x:row>
    <x:row r="186">
      <x:c r="A186" t="str">
        <x:v>a2_new_minus_old_on_old_a1</x:v>
      </x:c>
      <x:c r="B186" t="str">
        <x:f>"qid:2469112227919120438"</x:f>
        <x:v>qid:2469112227919120438</x:v>
      </x:c>
      <x:c r="C186" s="14" t="str">
        <x:v>The creation of the senate was based on the?</x:v>
      </x:c>
      <x:c r="D186" s="14" t="str">
        <x:v>rewrite_faithful</x:v>
      </x:c>
      <x:c r="E186" s="14" t="str">
        <x:v>The Senate was created to ensure equal representation for small states.</x:v>
      </x:c>
      <x:c r="F186" s="14" t="str">
        <x:v>which led to the Senate's establishment to ensure this balance [1]</x:v>
      </x:c>
      <x:c r="G186" s="14" t="n">
        <x:v>0</x:v>
      </x:c>
      <x:c r="H186" s="14" t="n">
        <x:v>0</x:v>
      </x:c>
      <x:c r="I186" s="53" t="b">
        <x:v>1</x:v>
      </x:c>
      <x:c r="J186" s="14" t="str">
        <x:v>span_misaligned;meaning_changed</x:v>
      </x:c>
      <x:c r="K186" s="14" t="str">
        <x:v>span_misaligned;meaning_changed</x:v>
      </x:c>
    </x:row>
    <x:row r="187">
      <x:c r="A187" t="str">
        <x:v>a2_new_minus_old_on_old_a1</x:v>
      </x:c>
      <x:c r="B187" t="str">
        <x:f>"qid:2469112227919120438"</x:f>
        <x:v>qid:2469112227919120438</x:v>
      </x:c>
      <x:c r="C187" s="14" t="str">
        <x:v>The creation of the senate was based on the?</x:v>
      </x:c>
      <x:c r="D187" s="14" t="str">
        <x:v>atomic</x:v>
      </x:c>
      <x:c r="E187" s="14" t="str">
        <x:v>The Senate's role evolved from temporary oversight to a permanent body.</x:v>
      </x:c>
      <x:c r="F187" s="14" t="str">
        <x:v>later becoming permanent (evidence [3])</x:v>
      </x:c>
      <x:c r="G187" s="14" t="n">
        <x:v>1</x:v>
      </x:c>
      <x:c r="H187" s="14" t="n">
        <x:v>1</x:v>
      </x:c>
      <x:c r="I187" s="53" t="b">
        <x:v>1</x:v>
      </x:c>
      <x:c r="J187" s="14" t="str">
        <x:v>span_misaligned;meaning_changed</x:v>
      </x:c>
      <x:c r="K187" s="14" t="str">
        <x:v>span_misaligned;meaning_changed</x:v>
      </x:c>
    </x:row>
    <x:row r="188">
      <x:c r="A188" t="str">
        <x:v>a2_new_minus_old_on_old_a1</x:v>
      </x:c>
      <x:c r="B188" t="str">
        <x:f>"qid:2469112227919120438"</x:f>
        <x:v>qid:2469112227919120438</x:v>
      </x:c>
      <x:c r="C188" s="14" t="str">
        <x:v>The creation of the senate was based on the?</x:v>
      </x:c>
      <x:c r="D188" s="14" t="str">
        <x:v>self_contained</x:v>
      </x:c>
      <x:c r="E188" s="14" t="str">
        <x:v>The Senate's role evolved from temporary oversight to a permanent body.</x:v>
      </x:c>
      <x:c r="F188" s="14" t="str">
        <x:v>later becoming permanent (evidence [3])</x:v>
      </x:c>
      <x:c r="G188" s="14" t="n">
        <x:v>1</x:v>
      </x:c>
      <x:c r="H188" s="14" t="n">
        <x:v>1</x:v>
      </x:c>
      <x:c r="I188" s="53" t="b">
        <x:v>1</x:v>
      </x:c>
      <x:c r="J188" s="14" t="str">
        <x:v>span_misaligned;meaning_changed</x:v>
      </x:c>
      <x:c r="K188" s="14" t="str">
        <x:v>span_misaligned;meaning_changed</x:v>
      </x:c>
    </x:row>
    <x:row r="189">
      <x:c r="A189" t="str">
        <x:v>a2_new_minus_old_on_old_a1</x:v>
      </x:c>
      <x:c r="B189" t="str">
        <x:f>"qid:2469112227919120438"</x:f>
        <x:v>qid:2469112227919120438</x:v>
      </x:c>
      <x:c r="C189" s="14" t="str">
        <x:v>The creation of the senate was based on the?</x:v>
      </x:c>
      <x:c r="D189" s="14" t="str">
        <x:v>span_aligned</x:v>
      </x:c>
      <x:c r="E189" s="14" t="str">
        <x:v>The Senate's role evolved from temporary oversight to a permanent body.</x:v>
      </x:c>
      <x:c r="F189" s="14" t="str">
        <x:v>later becoming permanent (evidence [3])</x:v>
      </x:c>
      <x:c r="G189" s="14" t="n">
        <x:v>0</x:v>
      </x:c>
      <x:c r="H189" s="14" t="n">
        <x:v>0</x:v>
      </x:c>
      <x:c r="I189" s="53" t="b">
        <x:v>1</x:v>
      </x:c>
      <x:c r="J189" s="14" t="str">
        <x:v>span_misaligned;meaning_changed</x:v>
      </x:c>
      <x:c r="K189" s="14" t="str">
        <x:v>span_misaligned;meaning_changed</x:v>
      </x:c>
    </x:row>
    <x:row r="190">
      <x:c r="A190" t="str">
        <x:v>a2_new_minus_old_on_old_a1</x:v>
      </x:c>
      <x:c r="B190" t="str">
        <x:f>"qid:2469112227919120438"</x:f>
        <x:v>qid:2469112227919120438</x:v>
      </x:c>
      <x:c r="C190" s="14" t="str">
        <x:v>The creation of the senate was based on the?</x:v>
      </x:c>
      <x:c r="D190" s="14" t="str">
        <x:v>rewrite_faithful</x:v>
      </x:c>
      <x:c r="E190" s="14" t="str">
        <x:v>The Senate's role evolved from temporary oversight to a permanent body.</x:v>
      </x:c>
      <x:c r="F190" s="14" t="str">
        <x:v>later becoming permanent (evidence [3])</x:v>
      </x:c>
      <x:c r="G190" s="14" t="n">
        <x:v>0</x:v>
      </x:c>
      <x:c r="H190" s="14" t="n">
        <x:v>0</x:v>
      </x:c>
      <x:c r="I190" s="53" t="b">
        <x:v>1</x:v>
      </x:c>
      <x:c r="J190" s="14" t="str">
        <x:v>span_misaligned;meaning_changed</x:v>
      </x:c>
      <x:c r="K190" s="14" t="str">
        <x:v>span_misaligned;meaning_changed</x:v>
      </x:c>
    </x:row>
    <x:row r="191">
      <x:c r="A191" t="str">
        <x:v>a2_new_minus_old_on_old_a1</x:v>
      </x:c>
      <x:c r="B191" t="str">
        <x:f>"qid:2469112227919120438"</x:f>
        <x:v>qid:2469112227919120438</x:v>
      </x:c>
      <x:c r="C191" s="14" t="str">
        <x:v>The creation of the senate was based on the?</x:v>
      </x:c>
      <x:c r="D191" s="14" t="str">
        <x:v>atomic</x:v>
      </x:c>
      <x:c r="E191" s="14" t="str">
        <x:v>The U.S. Senate was established to provide equal representation for small states in the national legislature.</x:v>
      </x:c>
      <x:c r="F191" s="14" t="str">
        <x:v>The creation of the U.S. Senate was based on the need for equal suffrage for small states in the national legislature</x:v>
      </x:c>
      <x:c r="G191" s="14" t="n">
        <x:v>1</x:v>
      </x:c>
      <x:c r="H191" s="14" t="n">
        <x:v>1</x:v>
      </x:c>
      <x:c r="I191" s="53" t="b">
        <x:v>1</x:v>
      </x:c>
      <x:c r="J191" s="14" t="str"/>
      <x:c r="K191" s="14" t="str"/>
    </x:row>
    <x:row r="192">
      <x:c r="A192" t="str">
        <x:v>a2_new_minus_old_on_old_a1</x:v>
      </x:c>
      <x:c r="B192" t="str">
        <x:f>"qid:2469112227919120438"</x:f>
        <x:v>qid:2469112227919120438</x:v>
      </x:c>
      <x:c r="C192" s="14" t="str">
        <x:v>The creation of the senate was based on the?</x:v>
      </x:c>
      <x:c r="D192" s="14" t="str">
        <x:v>self_contained</x:v>
      </x:c>
      <x:c r="E192" s="14" t="str">
        <x:v>The U.S. Senate was established to provide equal representation for small states in the national legislature.</x:v>
      </x:c>
      <x:c r="F192" s="14" t="str">
        <x:v>The creation of the U.S. Senate was based on the need for equal suffrage for small states in the national legislature</x:v>
      </x:c>
      <x:c r="G192" s="14" t="n">
        <x:v>1</x:v>
      </x:c>
      <x:c r="H192" s="14" t="n">
        <x:v>1</x:v>
      </x:c>
      <x:c r="I192" s="53" t="b">
        <x:v>1</x:v>
      </x:c>
      <x:c r="J192" s="14" t="str"/>
      <x:c r="K192" s="14" t="str"/>
    </x:row>
    <x:row r="193">
      <x:c r="A193" t="str">
        <x:v>a2_new_minus_old_on_old_a1</x:v>
      </x:c>
      <x:c r="B193" t="str">
        <x:f>"qid:2469112227919120438"</x:f>
        <x:v>qid:2469112227919120438</x:v>
      </x:c>
      <x:c r="C193" s="14" t="str">
        <x:v>The creation of the senate was based on the?</x:v>
      </x:c>
      <x:c r="D193" s="14" t="str">
        <x:v>span_aligned</x:v>
      </x:c>
      <x:c r="E193" s="14" t="str">
        <x:v>The U.S. Senate was established to provide equal representation for small states in the national legislature.</x:v>
      </x:c>
      <x:c r="F193" s="14" t="str">
        <x:v>The creation of the U.S. Senate was based on the need for equal suffrage for small states in the national legislature</x:v>
      </x:c>
      <x:c r="G193" s="14" t="n">
        <x:v>1</x:v>
      </x:c>
      <x:c r="H193" s="14" t="n">
        <x:v>1</x:v>
      </x:c>
      <x:c r="I193" s="53" t="b">
        <x:v>1</x:v>
      </x:c>
      <x:c r="J193" s="14" t="str"/>
      <x:c r="K193" s="14" t="str"/>
    </x:row>
    <x:row r="194">
      <x:c r="A194" t="str">
        <x:v>a2_new_minus_old_on_old_a1</x:v>
      </x:c>
      <x:c r="B194" t="str">
        <x:f>"qid:2469112227919120438"</x:f>
        <x:v>qid:2469112227919120438</x:v>
      </x:c>
      <x:c r="C194" s="14" t="str">
        <x:v>The creation of the senate was based on the?</x:v>
      </x:c>
      <x:c r="D194" s="14" t="str">
        <x:v>rewrite_faithful</x:v>
      </x:c>
      <x:c r="E194" s="14" t="str">
        <x:v>The U.S. Senate was established to provide equal representation for small states in the national legislature.</x:v>
      </x:c>
      <x:c r="F194" s="14" t="str">
        <x:v>The creation of the U.S. Senate was based on the need for equal suffrage for small states in the national legislature</x:v>
      </x:c>
      <x:c r="G194" s="14" t="n">
        <x:v>1</x:v>
      </x:c>
      <x:c r="H194" s="14" t="n">
        <x:v>1</x:v>
      </x:c>
      <x:c r="I194" s="53" t="b">
        <x:v>1</x:v>
      </x:c>
      <x:c r="J194" s="14" t="str"/>
      <x:c r="K194" s="14" t="str"/>
    </x:row>
    <x:row r="195">
      <x:c r="A195" t="str">
        <x:v>a2_new_minus_old_on_old_a1</x:v>
      </x:c>
      <x:c r="B195" t="str">
        <x:f>"qid:2469112227919120438"</x:f>
        <x:v>qid:2469112227919120438</x:v>
      </x:c>
      <x:c r="C195" s="14" t="str">
        <x:v>The creation of the senate was based on the?</x:v>
      </x:c>
      <x:c r="D195" s="14" t="str">
        <x:v>atomic</x:v>
      </x:c>
      <x:c r="E195" s="14" t="str">
        <x:v>The original purpose of the Senate was to oversee judicial, financial, and administrative affairs when the monarch was not present.</x:v>
      </x:c>
      <x:c r="F195" s="14" t="str">
        <x:v>Additionally, the Senate was originally conceived as a body to oversee judicial, financial, and administrative affairs during the monarch's absence</x:v>
      </x:c>
      <x:c r="G195" s="14" t="n">
        <x:v>1</x:v>
      </x:c>
      <x:c r="H195" s="14" t="n">
        <x:v>1</x:v>
      </x:c>
      <x:c r="I195" s="53" t="b">
        <x:v>1</x:v>
      </x:c>
      <x:c r="J195" s="14" t="str"/>
      <x:c r="K195" s="14" t="str"/>
    </x:row>
    <x:row r="196">
      <x:c r="A196" t="str">
        <x:v>a2_new_minus_old_on_old_a1</x:v>
      </x:c>
      <x:c r="B196" t="str">
        <x:f>"qid:2469112227919120438"</x:f>
        <x:v>qid:2469112227919120438</x:v>
      </x:c>
      <x:c r="C196" s="14" t="str">
        <x:v>The creation of the senate was based on the?</x:v>
      </x:c>
      <x:c r="D196" s="14" t="str">
        <x:v>self_contained</x:v>
      </x:c>
      <x:c r="E196" s="14" t="str">
        <x:v>The original purpose of the Senate was to oversee judicial, financial, and administrative affairs when the monarch was not present.</x:v>
      </x:c>
      <x:c r="F196" s="14" t="str">
        <x:v>Additionally, the Senate was originally conceived as a body to oversee judicial, financial, and administrative affairs during the monarch's absence</x:v>
      </x:c>
      <x:c r="G196" s="14" t="n">
        <x:v>1</x:v>
      </x:c>
      <x:c r="H196" s="14" t="n">
        <x:v>1</x:v>
      </x:c>
      <x:c r="I196" s="53" t="b">
        <x:v>1</x:v>
      </x:c>
      <x:c r="J196" s="14" t="str"/>
      <x:c r="K196" s="14" t="str"/>
    </x:row>
    <x:row r="197">
      <x:c r="A197" t="str">
        <x:v>a2_new_minus_old_on_old_a1</x:v>
      </x:c>
      <x:c r="B197" t="str">
        <x:f>"qid:2469112227919120438"</x:f>
        <x:v>qid:2469112227919120438</x:v>
      </x:c>
      <x:c r="C197" s="14" t="str">
        <x:v>The creation of the senate was based on the?</x:v>
      </x:c>
      <x:c r="D197" s="14" t="str">
        <x:v>span_aligned</x:v>
      </x:c>
      <x:c r="E197" s="14" t="str">
        <x:v>The original purpose of the Senate was to oversee judicial, financial, and administrative affairs when the monarch was not present.</x:v>
      </x:c>
      <x:c r="F197" s="14" t="str">
        <x:v>Additionally, the Senate was originally conceived as a body to oversee judicial, financial, and administrative affairs during the monarch's absence</x:v>
      </x:c>
      <x:c r="G197" s="14" t="n">
        <x:v>1</x:v>
      </x:c>
      <x:c r="H197" s="14" t="n">
        <x:v>1</x:v>
      </x:c>
      <x:c r="I197" s="53" t="b">
        <x:v>1</x:v>
      </x:c>
      <x:c r="J197" s="14" t="str"/>
      <x:c r="K197" s="14" t="str"/>
    </x:row>
    <x:row r="198">
      <x:c r="A198" t="str">
        <x:v>a2_new_minus_old_on_old_a1</x:v>
      </x:c>
      <x:c r="B198" t="str">
        <x:f>"qid:2469112227919120438"</x:f>
        <x:v>qid:2469112227919120438</x:v>
      </x:c>
      <x:c r="C198" s="14" t="str">
        <x:v>The creation of the senate was based on the?</x:v>
      </x:c>
      <x:c r="D198" s="14" t="str">
        <x:v>rewrite_faithful</x:v>
      </x:c>
      <x:c r="E198" s="14" t="str">
        <x:v>The original purpose of the Senate was to oversee judicial, financial, and administrative affairs when the monarch was not present.</x:v>
      </x:c>
      <x:c r="F198" s="14" t="str">
        <x:v>Additionally, the Senate was originally conceived as a body to oversee judicial, financial, and administrative affairs during the monarch's absence</x:v>
      </x:c>
      <x:c r="G198" s="14" t="n">
        <x:v>1</x:v>
      </x:c>
      <x:c r="H198" s="14" t="n">
        <x:v>1</x:v>
      </x:c>
      <x:c r="I198" s="53" t="b">
        <x:v>1</x:v>
      </x:c>
      <x:c r="J198" s="14" t="str"/>
      <x:c r="K198" s="14" t="str"/>
    </x:row>
    <x:row r="199">
      <x:c r="A199" t="str">
        <x:v>a2_new_minus_old_on_old_a1</x:v>
      </x:c>
      <x:c r="B199" t="str">
        <x:f>"qid:3605104154738105404"</x:f>
        <x:v>qid:3605104154738105404</x:v>
      </x:c>
      <x:c r="C199" s="14" t="str">
        <x:v>What episode does jason gideon die in criminal minds?</x:v>
      </x:c>
      <x:c r="D199" s="14" t="str">
        <x:v>atomic</x:v>
      </x:c>
      <x:c r="E199" s="14" t="str">
        <x:v>Jason Gideon is a character who dies in the TV show Criminal Minds in the Season 10 episode titled "Nelson's Sparrow".</x:v>
      </x:c>
      <x:c r="F199" s="14" t="str">
        <x:v>Jason Gideon dies in the Season 10 episode "Nelson's Sparrow"</x:v>
      </x:c>
      <x:c r="G199" s="14" t="n">
        <x:v>1</x:v>
      </x:c>
      <x:c r="H199" s="14" t="n">
        <x:v>1</x:v>
      </x:c>
      <x:c r="I199" s="53" t="b">
        <x:v>1</x:v>
      </x:c>
      <x:c r="J199" s="14" t="str">
        <x:v>span_misaligned;meaning_changed</x:v>
      </x:c>
      <x:c r="K199" s="14" t="str"/>
    </x:row>
    <x:row r="200">
      <x:c r="A200" t="str">
        <x:v>a2_new_minus_old_on_old_a1</x:v>
      </x:c>
      <x:c r="B200" t="str">
        <x:f>"qid:3605104154738105404"</x:f>
        <x:v>qid:3605104154738105404</x:v>
      </x:c>
      <x:c r="C200" s="14" t="str">
        <x:v>What episode does jason gideon die in criminal minds?</x:v>
      </x:c>
      <x:c r="D200" s="14" t="str">
        <x:v>self_contained</x:v>
      </x:c>
      <x:c r="E200" s="14" t="str">
        <x:v>Jason Gideon is a character who dies in the TV show Criminal Minds in the Season 10 episode titled "Nelson's Sparrow".</x:v>
      </x:c>
      <x:c r="F200" s="14" t="str">
        <x:v>Jason Gideon dies in the Season 10 episode "Nelson's Sparrow"</x:v>
      </x:c>
      <x:c r="G200" s="14" t="n">
        <x:v>1</x:v>
      </x:c>
      <x:c r="H200" s="14" t="n">
        <x:v>1</x:v>
      </x:c>
      <x:c r="I200" s="53" t="b">
        <x:v>1</x:v>
      </x:c>
      <x:c r="J200" s="14" t="str">
        <x:v>span_misaligned;meaning_changed</x:v>
      </x:c>
      <x:c r="K200" s="14" t="str"/>
    </x:row>
    <x:row r="201">
      <x:c r="A201" t="str">
        <x:v>a2_new_minus_old_on_old_a1</x:v>
      </x:c>
      <x:c r="B201" t="str">
        <x:f>"qid:3605104154738105404"</x:f>
        <x:v>qid:3605104154738105404</x:v>
      </x:c>
      <x:c r="C201" s="14" t="str">
        <x:v>What episode does jason gideon die in criminal minds?</x:v>
      </x:c>
      <x:c r="D201" s="14" t="str">
        <x:v>span_aligned</x:v>
      </x:c>
      <x:c r="E201" s="14" t="str">
        <x:v>Jason Gideon is a character who dies in the TV show Criminal Minds in the Season 10 episode titled "Nelson's Sparrow".</x:v>
      </x:c>
      <x:c r="F201" s="14" t="str">
        <x:v>Jason Gideon dies in the Season 10 episode "Nelson's Sparrow"</x:v>
      </x:c>
      <x:c r="G201" s="14" t="n">
        <x:v>0</x:v>
      </x:c>
      <x:c r="H201" s="14" t="n">
        <x:v>1</x:v>
      </x:c>
      <x:c r="I201" s="53" t="b">
        <x:v>0</x:v>
      </x:c>
      <x:c r="J201" s="14" t="str">
        <x:v>span_misaligned;meaning_changed</x:v>
      </x:c>
      <x:c r="K201" s="14" t="str"/>
    </x:row>
    <x:row r="202">
      <x:c r="A202" t="str">
        <x:v>a2_new_minus_old_on_old_a1</x:v>
      </x:c>
      <x:c r="B202" t="str">
        <x:f>"qid:3605104154738105404"</x:f>
        <x:v>qid:3605104154738105404</x:v>
      </x:c>
      <x:c r="C202" s="14" t="str">
        <x:v>What episode does jason gideon die in criminal minds?</x:v>
      </x:c>
      <x:c r="D202" s="14" t="str">
        <x:v>rewrite_faithful</x:v>
      </x:c>
      <x:c r="E202" s="14" t="str">
        <x:v>Jason Gideon is a character who dies in the TV show Criminal Minds in the Season 10 episode titled "Nelson's Sparrow".</x:v>
      </x:c>
      <x:c r="F202" s="14" t="str">
        <x:v>Jason Gideon dies in the Season 10 episode "Nelson's Sparrow"</x:v>
      </x:c>
      <x:c r="G202" s="14" t="n">
        <x:v>0</x:v>
      </x:c>
      <x:c r="H202" s="14" t="n">
        <x:v>1</x:v>
      </x:c>
      <x:c r="I202" s="53" t="b">
        <x:v>0</x:v>
      </x:c>
      <x:c r="J202" s="14" t="str">
        <x:v>span_misaligned;meaning_changed</x:v>
      </x:c>
      <x:c r="K202" s="14" t="str"/>
    </x:row>
    <x:row r="203">
      <x:c r="A203" t="str">
        <x:v>a2_new_minus_old_on_old_a1</x:v>
      </x:c>
      <x:c r="B203" t="str">
        <x:f>"qid:4150448921344430432"</x:f>
        <x:v>qid:4150448921344430432</x:v>
      </x:c>
      <x:c r="C203" s="14" t="str">
        <x:v>Who were the original twins in everybody loves raymond?</x:v>
      </x:c>
      <x:c r="D203" s="14" t="str">
        <x:v>atomic</x:v>
      </x:c>
      <x:c r="E203" s="14" t="str">
        <x:v>Matthew and Gregory were later renamed to Geoffrey and Michael for the show's on-screen presentation.</x:v>
      </x:c>
      <x:c r="F203" s="14" t="str">
        <x:v>They were later renamed to Geoffrey and Michael on screen</x:v>
      </x:c>
      <x:c r="G203" s="14" t="n">
        <x:v>1</x:v>
      </x:c>
      <x:c r="H203" s="14" t="n">
        <x:v>1</x:v>
      </x:c>
      <x:c r="I203" s="53" t="b">
        <x:v>1</x:v>
      </x:c>
      <x:c r="J203" s="14" t="str"/>
      <x:c r="K203" s="14" t="str"/>
    </x:row>
    <x:row r="204">
      <x:c r="A204" t="str">
        <x:v>a2_new_minus_old_on_old_a1</x:v>
      </x:c>
      <x:c r="B204" t="str">
        <x:f>"qid:4150448921344430432"</x:f>
        <x:v>qid:4150448921344430432</x:v>
      </x:c>
      <x:c r="C204" s="14" t="str">
        <x:v>Who were the original twins in everybody loves raymond?</x:v>
      </x:c>
      <x:c r="D204" s="14" t="str">
        <x:v>self_contained</x:v>
      </x:c>
      <x:c r="E204" s="14" t="str">
        <x:v>Matthew and Gregory were later renamed to Geoffrey and Michael for the show's on-screen presentation.</x:v>
      </x:c>
      <x:c r="F204" s="14" t="str">
        <x:v>They were later renamed to Geoffrey and Michael on screen</x:v>
      </x:c>
      <x:c r="G204" s="14" t="n">
        <x:v>1</x:v>
      </x:c>
      <x:c r="H204" s="14" t="n">
        <x:v>1</x:v>
      </x:c>
      <x:c r="I204" s="53" t="b">
        <x:v>1</x:v>
      </x:c>
      <x:c r="J204" s="14" t="str"/>
      <x:c r="K204" s="14" t="str"/>
    </x:row>
    <x:row r="205">
      <x:c r="A205" t="str">
        <x:v>a2_new_minus_old_on_old_a1</x:v>
      </x:c>
      <x:c r="B205" t="str">
        <x:f>"qid:4150448921344430432"</x:f>
        <x:v>qid:4150448921344430432</x:v>
      </x:c>
      <x:c r="C205" s="14" t="str">
        <x:v>Who were the original twins in everybody loves raymond?</x:v>
      </x:c>
      <x:c r="D205" s="14" t="str">
        <x:v>span_aligned</x:v>
      </x:c>
      <x:c r="E205" s="14" t="str">
        <x:v>Matthew and Gregory were later renamed to Geoffrey and Michael for the show's on-screen presentation.</x:v>
      </x:c>
      <x:c r="F205" s="14" t="str">
        <x:v>They were later renamed to Geoffrey and Michael on screen</x:v>
      </x:c>
      <x:c r="G205" s="14" t="n">
        <x:v>1</x:v>
      </x:c>
      <x:c r="H205" s="14" t="n">
        <x:v>1</x:v>
      </x:c>
      <x:c r="I205" s="53" t="b">
        <x:v>1</x:v>
      </x:c>
      <x:c r="J205" s="14" t="str"/>
      <x:c r="K205" s="14" t="str"/>
    </x:row>
    <x:row r="206">
      <x:c r="A206" t="str">
        <x:v>a2_new_minus_old_on_old_a1</x:v>
      </x:c>
      <x:c r="B206" t="str">
        <x:f>"qid:4150448921344430432"</x:f>
        <x:v>qid:4150448921344430432</x:v>
      </x:c>
      <x:c r="C206" s="14" t="str">
        <x:v>Who were the original twins in everybody loves raymond?</x:v>
      </x:c>
      <x:c r="D206" s="14" t="str">
        <x:v>rewrite_faithful</x:v>
      </x:c>
      <x:c r="E206" s="14" t="str">
        <x:v>Matthew and Gregory were later renamed to Geoffrey and Michael for the show's on-screen presentation.</x:v>
      </x:c>
      <x:c r="F206" s="14" t="str">
        <x:v>They were later renamed to Geoffrey and Michael on screen</x:v>
      </x:c>
      <x:c r="G206" s="14" t="n">
        <x:v>1</x:v>
      </x:c>
      <x:c r="H206" s="14" t="n">
        <x:v>1</x:v>
      </x:c>
      <x:c r="I206" s="53" t="b">
        <x:v>1</x:v>
      </x:c>
      <x:c r="J206" s="14" t="str"/>
      <x:c r="K206" s="14" t="str"/>
    </x:row>
    <x:row r="207">
      <x:c r="A207" t="str">
        <x:v>a2_new_minus_old_on_old_a1</x:v>
      </x:c>
      <x:c r="B207" t="str">
        <x:f>"qid:4150448921344430432"</x:f>
        <x:v>qid:4150448921344430432</x:v>
      </x:c>
      <x:c r="C207" s="14" t="str">
        <x:v>Who were the original twins in everybody loves raymond?</x:v>
      </x:c>
      <x:c r="D207" s="14" t="str">
        <x:v>atomic</x:v>
      </x:c>
      <x:c r="E207" s="14" t="str">
        <x:v>Matthew and Gregory were the original twins in the television show Everybody Loves Raymond.</x:v>
      </x:c>
      <x:c r="F207" s="14" t="str">
        <x:v>The original twins in Everybody Loves Raymond were Matthew and Gregory</x:v>
      </x:c>
      <x:c r="G207" s="14" t="n">
        <x:v>1</x:v>
      </x:c>
      <x:c r="H207" s="14" t="n">
        <x:v>1</x:v>
      </x:c>
      <x:c r="I207" s="53" t="b">
        <x:v>1</x:v>
      </x:c>
      <x:c r="J207" s="14" t="str"/>
      <x:c r="K207" s="14" t="str"/>
    </x:row>
    <x:row r="208">
      <x:c r="A208" t="str">
        <x:v>a2_new_minus_old_on_old_a1</x:v>
      </x:c>
      <x:c r="B208" t="str">
        <x:f>"qid:4150448921344430432"</x:f>
        <x:v>qid:4150448921344430432</x:v>
      </x:c>
      <x:c r="C208" s="14" t="str">
        <x:v>Who were the original twins in everybody loves raymond?</x:v>
      </x:c>
      <x:c r="D208" s="14" t="str">
        <x:v>self_contained</x:v>
      </x:c>
      <x:c r="E208" s="14" t="str">
        <x:v>Matthew and Gregory were the original twins in the television show Everybody Loves Raymond.</x:v>
      </x:c>
      <x:c r="F208" s="14" t="str">
        <x:v>The original twins in Everybody Loves Raymond were Matthew and Gregory</x:v>
      </x:c>
      <x:c r="G208" s="14" t="n">
        <x:v>1</x:v>
      </x:c>
      <x:c r="H208" s="14" t="n">
        <x:v>1</x:v>
      </x:c>
      <x:c r="I208" s="53" t="b">
        <x:v>1</x:v>
      </x:c>
      <x:c r="J208" s="14" t="str"/>
      <x:c r="K208" s="14" t="str"/>
    </x:row>
    <x:row r="209">
      <x:c r="A209" t="str">
        <x:v>a2_new_minus_old_on_old_a1</x:v>
      </x:c>
      <x:c r="B209" t="str">
        <x:f>"qid:4150448921344430432"</x:f>
        <x:v>qid:4150448921344430432</x:v>
      </x:c>
      <x:c r="C209" s="14" t="str">
        <x:v>Who were the original twins in everybody loves raymond?</x:v>
      </x:c>
      <x:c r="D209" s="14" t="str">
        <x:v>span_aligned</x:v>
      </x:c>
      <x:c r="E209" s="14" t="str">
        <x:v>Matthew and Gregory were the original twins in the television show Everybody Loves Raymond.</x:v>
      </x:c>
      <x:c r="F209" s="14" t="str">
        <x:v>The original twins in Everybody Loves Raymond were Matthew and Gregory</x:v>
      </x:c>
      <x:c r="G209" s="14" t="n">
        <x:v>1</x:v>
      </x:c>
      <x:c r="H209" s="14" t="n">
        <x:v>1</x:v>
      </x:c>
      <x:c r="I209" s="53" t="b">
        <x:v>1</x:v>
      </x:c>
      <x:c r="J209" s="14" t="str"/>
      <x:c r="K209" s="14" t="str"/>
    </x:row>
    <x:row r="210">
      <x:c r="A210" t="str">
        <x:v>a2_new_minus_old_on_old_a1</x:v>
      </x:c>
      <x:c r="B210" t="str">
        <x:f>"qid:4150448921344430432"</x:f>
        <x:v>qid:4150448921344430432</x:v>
      </x:c>
      <x:c r="C210" s="14" t="str">
        <x:v>Who were the original twins in everybody loves raymond?</x:v>
      </x:c>
      <x:c r="D210" s="14" t="str">
        <x:v>rewrite_faithful</x:v>
      </x:c>
      <x:c r="E210" s="14" t="str">
        <x:v>Matthew and Gregory were the original twins in the television show Everybody Loves Raymond.</x:v>
      </x:c>
      <x:c r="F210" s="14" t="str">
        <x:v>The original twins in Everybody Loves Raymond were Matthew and Gregory</x:v>
      </x:c>
      <x:c r="G210" s="14" t="n">
        <x:v>1</x:v>
      </x:c>
      <x:c r="H210" s="14" t="n">
        <x:v>1</x:v>
      </x:c>
      <x:c r="I210" s="53" t="b">
        <x:v>1</x:v>
      </x:c>
      <x:c r="J210" s="14" t="str"/>
      <x:c r="K210" s="14" t="str"/>
    </x:row>
    <x:row r="211">
      <x:c r="A211" t="str">
        <x:v>a2_new_minus_old_on_old_a1</x:v>
      </x:c>
      <x:c r="B211" t="str">
        <x:f>"qid:4183252176965080529"</x:f>
        <x:v>qid:4183252176965080529</x:v>
      </x:c>
      <x:c r="C211" s="14" t="str">
        <x:v>When does the new independence day come out?</x:v>
      </x:c>
      <x:c r="D211" s="14" t="str">
        <x:v>atomic</x:v>
      </x:c>
      <x:c r="E211" s="14" t="str">
        <x:v>After multiple rescheduling events, the final confirmed release date for Independence Day: Resurgence was June 24, 2016.</x:v>
      </x:c>
      <x:c r="F211" s="14" t="str">
        <x:v>with the final release date announced as June 24, 2016</x:v>
      </x:c>
      <x:c r="G211" s="14" t="n">
        <x:v>1</x:v>
      </x:c>
      <x:c r="H211" s="14" t="n">
        <x:v>1</x:v>
      </x:c>
      <x:c r="I211" s="53" t="b">
        <x:v>1</x:v>
      </x:c>
      <x:c r="J211" s="14" t="str">
        <x:v>span_misaligned;meaning_changed</x:v>
      </x:c>
      <x:c r="K211" s="14" t="str">
        <x:v>span_misaligned;meaning_changed</x:v>
      </x:c>
    </x:row>
    <x:row r="212">
      <x:c r="A212" t="str">
        <x:v>a2_new_minus_old_on_old_a1</x:v>
      </x:c>
      <x:c r="B212" t="str">
        <x:f>"qid:4183252176965080529"</x:f>
        <x:v>qid:4183252176965080529</x:v>
      </x:c>
      <x:c r="C212" s="14" t="str">
        <x:v>When does the new independence day come out?</x:v>
      </x:c>
      <x:c r="D212" s="14" t="str">
        <x:v>self_contained</x:v>
      </x:c>
      <x:c r="E212" s="14" t="str">
        <x:v>After multiple rescheduling events, the final confirmed release date for Independence Day: Resurgence was June 24, 2016.</x:v>
      </x:c>
      <x:c r="F212" s="14" t="str">
        <x:v>with the final release date announced as June 24, 2016</x:v>
      </x:c>
      <x:c r="G212" s="14" t="n">
        <x:v>1</x:v>
      </x:c>
      <x:c r="H212" s="14" t="n">
        <x:v>1</x:v>
      </x:c>
      <x:c r="I212" s="53" t="b">
        <x:v>1</x:v>
      </x:c>
      <x:c r="J212" s="14" t="str">
        <x:v>span_misaligned;meaning_changed</x:v>
      </x:c>
      <x:c r="K212" s="14" t="str">
        <x:v>span_misaligned;meaning_changed</x:v>
      </x:c>
    </x:row>
    <x:row r="213">
      <x:c r="A213" t="str">
        <x:v>a2_new_minus_old_on_old_a1</x:v>
      </x:c>
      <x:c r="B213" t="str">
        <x:f>"qid:4183252176965080529"</x:f>
        <x:v>qid:4183252176965080529</x:v>
      </x:c>
      <x:c r="C213" s="14" t="str">
        <x:v>When does the new independence day come out?</x:v>
      </x:c>
      <x:c r="D213" s="14" t="str">
        <x:v>span_aligned</x:v>
      </x:c>
      <x:c r="E213" s="14" t="str">
        <x:v>After multiple rescheduling events, the final confirmed release date for Independence Day: Resurgence was June 24, 2016.</x:v>
      </x:c>
      <x:c r="F213" s="14" t="str">
        <x:v>with the final release date announced as June 24, 2016</x:v>
      </x:c>
      <x:c r="G213" s="14" t="n">
        <x:v>0</x:v>
      </x:c>
      <x:c r="H213" s="14" t="n">
        <x:v>0</x:v>
      </x:c>
      <x:c r="I213" s="53" t="b">
        <x:v>1</x:v>
      </x:c>
      <x:c r="J213" s="14" t="str">
        <x:v>span_misaligned;meaning_changed</x:v>
      </x:c>
      <x:c r="K213" s="14" t="str">
        <x:v>span_misaligned;meaning_changed</x:v>
      </x:c>
    </x:row>
    <x:row r="214">
      <x:c r="A214" t="str">
        <x:v>a2_new_minus_old_on_old_a1</x:v>
      </x:c>
      <x:c r="B214" t="str">
        <x:f>"qid:4183252176965080529"</x:f>
        <x:v>qid:4183252176965080529</x:v>
      </x:c>
      <x:c r="C214" s="14" t="str">
        <x:v>When does the new independence day come out?</x:v>
      </x:c>
      <x:c r="D214" s="14" t="str">
        <x:v>rewrite_faithful</x:v>
      </x:c>
      <x:c r="E214" s="14" t="str">
        <x:v>After multiple rescheduling events, the final confirmed release date for Independence Day: Resurgence was June 24, 2016.</x:v>
      </x:c>
      <x:c r="F214" s="14" t="str">
        <x:v>with the final release date announced as June 24, 2016</x:v>
      </x:c>
      <x:c r="G214" s="14" t="n">
        <x:v>0</x:v>
      </x:c>
      <x:c r="H214" s="14" t="n">
        <x:v>0</x:v>
      </x:c>
      <x:c r="I214" s="53" t="b">
        <x:v>1</x:v>
      </x:c>
      <x:c r="J214" s="14" t="str">
        <x:v>span_misaligned;meaning_changed</x:v>
      </x:c>
      <x:c r="K214" s="14" t="str">
        <x:v>span_misaligned;meaning_changed</x:v>
      </x:c>
    </x:row>
    <x:row r="215">
      <x:c r="A215" t="str">
        <x:v>a2_new_minus_old_on_old_a1</x:v>
      </x:c>
      <x:c r="B215" t="str">
        <x:f>"qid:4183252176965080529"</x:f>
        <x:v>qid:4183252176965080529</x:v>
      </x:c>
      <x:c r="C215" s="14" t="str">
        <x:v>When does the new independence day come out?</x:v>
      </x:c>
      <x:c r="D215" s="14" t="str">
        <x:v>atomic</x:v>
      </x:c>
      <x:c r="E215" s="14" t="str">
        <x:v>Independence Day: Resurgence was officially released on June 24, 2016.</x:v>
      </x:c>
      <x:c r="F215" s="14" t="str">
        <x:v>was released on June 24, 2016</x:v>
      </x:c>
      <x:c r="G215" s="14" t="n">
        <x:v>1</x:v>
      </x:c>
      <x:c r="H215" s="14" t="n">
        <x:v>1</x:v>
      </x:c>
      <x:c r="I215" s="53" t="b">
        <x:v>1</x:v>
      </x:c>
      <x:c r="J215" s="14" t="str">
        <x:v>span_misaligned;meaning_changed</x:v>
      </x:c>
      <x:c r="K215" s="14" t="str">
        <x:v>span_misaligned;meaning_changed</x:v>
      </x:c>
    </x:row>
    <x:row r="216">
      <x:c r="A216" t="str">
        <x:v>a2_new_minus_old_on_old_a1</x:v>
      </x:c>
      <x:c r="B216" t="str">
        <x:f>"qid:4183252176965080529"</x:f>
        <x:v>qid:4183252176965080529</x:v>
      </x:c>
      <x:c r="C216" s="14" t="str">
        <x:v>When does the new independence day come out?</x:v>
      </x:c>
      <x:c r="D216" s="14" t="str">
        <x:v>self_contained</x:v>
      </x:c>
      <x:c r="E216" s="14" t="str">
        <x:v>Independence Day: Resurgence was officially released on June 24, 2016.</x:v>
      </x:c>
      <x:c r="F216" s="14" t="str">
        <x:v>was released on June 24, 2016</x:v>
      </x:c>
      <x:c r="G216" s="14" t="n">
        <x:v>1</x:v>
      </x:c>
      <x:c r="H216" s="14" t="n">
        <x:v>1</x:v>
      </x:c>
      <x:c r="I216" s="53" t="b">
        <x:v>1</x:v>
      </x:c>
      <x:c r="J216" s="14" t="str">
        <x:v>span_misaligned;meaning_changed</x:v>
      </x:c>
      <x:c r="K216" s="14" t="str">
        <x:v>span_misaligned;meaning_changed</x:v>
      </x:c>
    </x:row>
    <x:row r="217">
      <x:c r="A217" t="str">
        <x:v>a2_new_minus_old_on_old_a1</x:v>
      </x:c>
      <x:c r="B217" t="str">
        <x:f>"qid:4183252176965080529"</x:f>
        <x:v>qid:4183252176965080529</x:v>
      </x:c>
      <x:c r="C217" s="14" t="str">
        <x:v>When does the new independence day come out?</x:v>
      </x:c>
      <x:c r="D217" s="14" t="str">
        <x:v>span_aligned</x:v>
      </x:c>
      <x:c r="E217" s="14" t="str">
        <x:v>Independence Day: Resurgence was officially released on June 24, 2016.</x:v>
      </x:c>
      <x:c r="F217" s="14" t="str">
        <x:v>was released on June 24, 2016</x:v>
      </x:c>
      <x:c r="G217" s="14" t="n">
        <x:v>0</x:v>
      </x:c>
      <x:c r="H217" s="14" t="n">
        <x:v>0</x:v>
      </x:c>
      <x:c r="I217" s="53" t="b">
        <x:v>1</x:v>
      </x:c>
      <x:c r="J217" s="14" t="str">
        <x:v>span_misaligned;meaning_changed</x:v>
      </x:c>
      <x:c r="K217" s="14" t="str">
        <x:v>span_misaligned;meaning_changed</x:v>
      </x:c>
    </x:row>
    <x:row r="218">
      <x:c r="A218" t="str">
        <x:v>a2_new_minus_old_on_old_a1</x:v>
      </x:c>
      <x:c r="B218" t="str">
        <x:f>"qid:4183252176965080529"</x:f>
        <x:v>qid:4183252176965080529</x:v>
      </x:c>
      <x:c r="C218" s="14" t="str">
        <x:v>When does the new independence day come out?</x:v>
      </x:c>
      <x:c r="D218" s="14" t="str">
        <x:v>rewrite_faithful</x:v>
      </x:c>
      <x:c r="E218" s="14" t="str">
        <x:v>Independence Day: Resurgence was officially released on June 24, 2016.</x:v>
      </x:c>
      <x:c r="F218" s="14" t="str">
        <x:v>was released on June 24, 2016</x:v>
      </x:c>
      <x:c r="G218" s="14" t="n">
        <x:v>0</x:v>
      </x:c>
      <x:c r="H218" s="14" t="n">
        <x:v>0</x:v>
      </x:c>
      <x:c r="I218" s="53" t="b">
        <x:v>1</x:v>
      </x:c>
      <x:c r="J218" s="14" t="str">
        <x:v>span_misaligned;meaning_changed</x:v>
      </x:c>
      <x:c r="K218" s="14" t="str">
        <x:v>span_misaligned;meaning_changed</x:v>
      </x:c>
    </x:row>
    <x:row r="219">
      <x:c r="A219" t="str">
        <x:v>a2_new_minus_old_on_old_a1</x:v>
      </x:c>
      <x:c r="B219" t="str">
        <x:f>"qid:4183252176965080529"</x:f>
        <x:v>qid:4183252176965080529</x:v>
      </x:c>
      <x:c r="C219" s="14" t="str">
        <x:v>When does the new independence day come out?</x:v>
      </x:c>
      <x:c r="D219" s="14" t="str">
        <x:v>atomic</x:v>
      </x:c>
      <x:c r="E219" s="14" t="str">
        <x:v>The film's initial release date was set for July 2016, but the schedule was changed several times.</x:v>
      </x:c>
      <x:c r="F219" s="14" t="str">
        <x:v>It was originally scheduled for July 2016 but was rescheduled multiple times</x:v>
      </x:c>
      <x:c r="G219" s="14" t="n">
        <x:v>1</x:v>
      </x:c>
      <x:c r="H219" s="14" t="n">
        <x:v>1</x:v>
      </x:c>
      <x:c r="I219" s="53" t="b">
        <x:v>1</x:v>
      </x:c>
      <x:c r="J219" s="14" t="str">
        <x:v>unresolved_reference</x:v>
      </x:c>
      <x:c r="K219" s="14" t="str">
        <x:v>unresolved_reference</x:v>
      </x:c>
    </x:row>
    <x:row r="220">
      <x:c r="A220" t="str">
        <x:v>a2_new_minus_old_on_old_a1</x:v>
      </x:c>
      <x:c r="B220" t="str">
        <x:f>"qid:4183252176965080529"</x:f>
        <x:v>qid:4183252176965080529</x:v>
      </x:c>
      <x:c r="C220" s="14" t="str">
        <x:v>When does the new independence day come out?</x:v>
      </x:c>
      <x:c r="D220" s="14" t="str">
        <x:v>self_contained</x:v>
      </x:c>
      <x:c r="E220" s="14" t="str">
        <x:v>The film's initial release date was set for July 2016, but the schedule was changed several times.</x:v>
      </x:c>
      <x:c r="F220" s="14" t="str">
        <x:v>It was originally scheduled for July 2016 but was rescheduled multiple times</x:v>
      </x:c>
      <x:c r="G220" s="14" t="n">
        <x:v>0</x:v>
      </x:c>
      <x:c r="H220" s="14" t="n">
        <x:v>0</x:v>
      </x:c>
      <x:c r="I220" s="53" t="b">
        <x:v>1</x:v>
      </x:c>
      <x:c r="J220" s="14" t="str">
        <x:v>unresolved_reference</x:v>
      </x:c>
      <x:c r="K220" s="14" t="str">
        <x:v>unresolved_reference</x:v>
      </x:c>
    </x:row>
    <x:row r="221">
      <x:c r="A221" t="str">
        <x:v>a2_new_minus_old_on_old_a1</x:v>
      </x:c>
      <x:c r="B221" t="str">
        <x:f>"qid:4183252176965080529"</x:f>
        <x:v>qid:4183252176965080529</x:v>
      </x:c>
      <x:c r="C221" s="14" t="str">
        <x:v>When does the new independence day come out?</x:v>
      </x:c>
      <x:c r="D221" s="14" t="str">
        <x:v>span_aligned</x:v>
      </x:c>
      <x:c r="E221" s="14" t="str">
        <x:v>The film's initial release date was set for July 2016, but the schedule was changed several times.</x:v>
      </x:c>
      <x:c r="F221" s="14" t="str">
        <x:v>It was originally scheduled for July 2016 but was rescheduled multiple times</x:v>
      </x:c>
      <x:c r="G221" s="14" t="n">
        <x:v>1</x:v>
      </x:c>
      <x:c r="H221" s="14" t="n">
        <x:v>1</x:v>
      </x:c>
      <x:c r="I221" s="53" t="b">
        <x:v>1</x:v>
      </x:c>
      <x:c r="J221" s="14" t="str">
        <x:v>unresolved_reference</x:v>
      </x:c>
      <x:c r="K221" s="14" t="str">
        <x:v>unresolved_reference</x:v>
      </x:c>
    </x:row>
    <x:row r="222">
      <x:c r="A222" t="str">
        <x:v>a2_new_minus_old_on_old_a1</x:v>
      </x:c>
      <x:c r="B222" t="str">
        <x:f>"qid:4183252176965080529"</x:f>
        <x:v>qid:4183252176965080529</x:v>
      </x:c>
      <x:c r="C222" s="14" t="str">
        <x:v>When does the new independence day come out?</x:v>
      </x:c>
      <x:c r="D222" s="14" t="str">
        <x:v>rewrite_faithful</x:v>
      </x:c>
      <x:c r="E222" s="14" t="str">
        <x:v>The film's initial release date was set for July 2016, but the schedule was changed several times.</x:v>
      </x:c>
      <x:c r="F222" s="14" t="str">
        <x:v>It was originally scheduled for July 2016 but was rescheduled multiple times</x:v>
      </x:c>
      <x:c r="G222" s="14" t="n">
        <x:v>1</x:v>
      </x:c>
      <x:c r="H222" s="14" t="n">
        <x:v>1</x:v>
      </x:c>
      <x:c r="I222" s="53" t="b">
        <x:v>1</x:v>
      </x:c>
      <x:c r="J222" s="14" t="str">
        <x:v>unresolved_reference</x:v>
      </x:c>
      <x:c r="K222" s="14" t="str">
        <x:v>unresolved_reference</x:v>
      </x:c>
    </x:row>
    <x:row r="223">
      <x:c r="A223" t="str">
        <x:v>a2_new_minus_old_on_old_a1</x:v>
      </x:c>
      <x:c r="B223" t="str">
        <x:f>"qid:4474597907223412132"</x:f>
        <x:v>qid:4474597907223412132</x:v>
      </x:c>
      <x:c r="C223" s="14" t="str">
        <x:v>Who were the two astronauts who stayed a year on the iss?</x:v>
      </x:c>
      <x:c r="D223" s="14" t="str">
        <x:v>atomic</x:v>
      </x:c>
      <x:c r="E223" s="14" t="str">
        <x:v>Scott Kelly is an astronaut from NASA in the USA who spent a year on the ISS.</x:v>
      </x:c>
      <x:c r="F223" s="14" t="str">
        <x:v>The two astronauts who stayed a year on the ISS were Scott Kelly (NASA / USA) and Mikhail Korniyenko (Roscosmos / Russia).</x:v>
      </x:c>
      <x:c r="G223" s="14" t="n">
        <x:v>1</x:v>
      </x:c>
      <x:c r="H223" s="14" t="n">
        <x:v>1</x:v>
      </x:c>
      <x:c r="I223" s="53" t="b">
        <x:v>1</x:v>
      </x:c>
      <x:c r="J223" s="14" t="str"/>
      <x:c r="K223" s="14" t="str"/>
    </x:row>
    <x:row r="224">
      <x:c r="A224" t="str">
        <x:v>a2_new_minus_old_on_old_a1</x:v>
      </x:c>
      <x:c r="B224" t="str">
        <x:f>"qid:4474597907223412132"</x:f>
        <x:v>qid:4474597907223412132</x:v>
      </x:c>
      <x:c r="C224" s="14" t="str">
        <x:v>Who were the two astronauts who stayed a year on the iss?</x:v>
      </x:c>
      <x:c r="D224" s="14" t="str">
        <x:v>self_contained</x:v>
      </x:c>
      <x:c r="E224" s="14" t="str">
        <x:v>Scott Kelly is an astronaut from NASA in the USA who spent a year on the ISS.</x:v>
      </x:c>
      <x:c r="F224" s="14" t="str">
        <x:v>The two astronauts who stayed a year on the ISS were Scott Kelly (NASA / USA) and Mikhail Korniyenko (Roscosmos / Russia).</x:v>
      </x:c>
      <x:c r="G224" s="14" t="n">
        <x:v>1</x:v>
      </x:c>
      <x:c r="H224" s="14" t="n">
        <x:v>1</x:v>
      </x:c>
      <x:c r="I224" s="53" t="b">
        <x:v>1</x:v>
      </x:c>
      <x:c r="J224" s="14" t="str"/>
      <x:c r="K224" s="14" t="str"/>
    </x:row>
    <x:row r="225">
      <x:c r="A225" t="str">
        <x:v>a2_new_minus_old_on_old_a1</x:v>
      </x:c>
      <x:c r="B225" t="str">
        <x:f>"qid:4474597907223412132"</x:f>
        <x:v>qid:4474597907223412132</x:v>
      </x:c>
      <x:c r="C225" s="14" t="str">
        <x:v>Who were the two astronauts who stayed a year on the iss?</x:v>
      </x:c>
      <x:c r="D225" s="14" t="str">
        <x:v>span_aligned</x:v>
      </x:c>
      <x:c r="E225" s="14" t="str">
        <x:v>Scott Kelly is an astronaut from NASA in the USA who spent a year on the ISS.</x:v>
      </x:c>
      <x:c r="F225" s="14" t="str">
        <x:v>The two astronauts who stayed a year on the ISS were Scott Kelly (NASA / USA) and Mikhail Korniyenko (Roscosmos / Russia).</x:v>
      </x:c>
      <x:c r="G225" s="14" t="n">
        <x:v>1</x:v>
      </x:c>
      <x:c r="H225" s="14" t="n">
        <x:v>1</x:v>
      </x:c>
      <x:c r="I225" s="53" t="b">
        <x:v>1</x:v>
      </x:c>
      <x:c r="J225" s="14" t="str"/>
      <x:c r="K225" s="14" t="str"/>
    </x:row>
    <x:row r="226">
      <x:c r="A226" t="str">
        <x:v>a2_new_minus_old_on_old_a1</x:v>
      </x:c>
      <x:c r="B226" t="str">
        <x:f>"qid:4474597907223412132"</x:f>
        <x:v>qid:4474597907223412132</x:v>
      </x:c>
      <x:c r="C226" s="14" t="str">
        <x:v>Who were the two astronauts who stayed a year on the iss?</x:v>
      </x:c>
      <x:c r="D226" s="14" t="str">
        <x:v>rewrite_faithful</x:v>
      </x:c>
      <x:c r="E226" s="14" t="str">
        <x:v>Scott Kelly is an astronaut from NASA in the USA who spent a year on the ISS.</x:v>
      </x:c>
      <x:c r="F226" s="14" t="str">
        <x:v>The two astronauts who stayed a year on the ISS were Scott Kelly (NASA / USA) and Mikhail Korniyenko (Roscosmos / Russia).</x:v>
      </x:c>
      <x:c r="G226" s="14" t="n">
        <x:v>1</x:v>
      </x:c>
      <x:c r="H226" s="14" t="n">
        <x:v>1</x:v>
      </x:c>
      <x:c r="I226" s="53" t="b">
        <x:v>1</x:v>
      </x:c>
      <x:c r="J226" s="14" t="str"/>
      <x:c r="K226" s="14" t="str"/>
    </x:row>
    <x:row r="227">
      <x:c r="A227" t="str">
        <x:v>a2_new_minus_old_on_old_a1</x:v>
      </x:c>
      <x:c r="B227" t="str">
        <x:f>"qid:586233275728240023"</x:f>
        <x:v>qid:586233275728240023</x:v>
      </x:c>
      <x:c r="C227" s="14" t="str">
        <x:v>What is the os of samsung smart tv?</x:v>
      </x:c>
      <x:c r="D227" s="14" t="str">
        <x:v>atomic</x:v>
      </x:c>
      <x:c r="E227" s="14" t="str">
        <x:v>Samsung smart TVs use the Tizen operating system.</x:v>
      </x:c>
      <x:c r="F227" s="14" t="str">
        <x:v>The OS of Samsung smart TVs is Tizen</x:v>
      </x:c>
      <x:c r="G227" s="14" t="n">
        <x:v>1</x:v>
      </x:c>
      <x:c r="H227" s="14" t="n">
        <x:v>1</x:v>
      </x:c>
      <x:c r="I227" s="53" t="b">
        <x:v>1</x:v>
      </x:c>
      <x:c r="J227" s="14" t="str"/>
      <x:c r="K227" s="14" t="str"/>
    </x:row>
    <x:row r="228">
      <x:c r="A228" t="str">
        <x:v>a2_new_minus_old_on_old_a1</x:v>
      </x:c>
      <x:c r="B228" t="str">
        <x:f>"qid:586233275728240023"</x:f>
        <x:v>qid:586233275728240023</x:v>
      </x:c>
      <x:c r="C228" s="14" t="str">
        <x:v>What is the os of samsung smart tv?</x:v>
      </x:c>
      <x:c r="D228" s="14" t="str">
        <x:v>self_contained</x:v>
      </x:c>
      <x:c r="E228" s="14" t="str">
        <x:v>Samsung smart TVs use the Tizen operating system.</x:v>
      </x:c>
      <x:c r="F228" s="14" t="str">
        <x:v>The OS of Samsung smart TVs is Tizen</x:v>
      </x:c>
      <x:c r="G228" s="14" t="n">
        <x:v>1</x:v>
      </x:c>
      <x:c r="H228" s="14" t="n">
        <x:v>1</x:v>
      </x:c>
      <x:c r="I228" s="53" t="b">
        <x:v>1</x:v>
      </x:c>
      <x:c r="J228" s="14" t="str"/>
      <x:c r="K228" s="14" t="str"/>
    </x:row>
    <x:row r="229">
      <x:c r="A229" t="str">
        <x:v>a2_new_minus_old_on_old_a1</x:v>
      </x:c>
      <x:c r="B229" t="str">
        <x:f>"qid:586233275728240023"</x:f>
        <x:v>qid:586233275728240023</x:v>
      </x:c>
      <x:c r="C229" s="14" t="str">
        <x:v>What is the os of samsung smart tv?</x:v>
      </x:c>
      <x:c r="D229" s="14" t="str">
        <x:v>span_aligned</x:v>
      </x:c>
      <x:c r="E229" s="14" t="str">
        <x:v>Samsung smart TVs use the Tizen operating system.</x:v>
      </x:c>
      <x:c r="F229" s="14" t="str">
        <x:v>The OS of Samsung smart TVs is Tizen</x:v>
      </x:c>
      <x:c r="G229" s="14" t="n">
        <x:v>1</x:v>
      </x:c>
      <x:c r="H229" s="14" t="n">
        <x:v>1</x:v>
      </x:c>
      <x:c r="I229" s="53" t="b">
        <x:v>1</x:v>
      </x:c>
      <x:c r="J229" s="14" t="str"/>
      <x:c r="K229" s="14" t="str"/>
    </x:row>
    <x:row r="230">
      <x:c r="A230" t="str">
        <x:v>a2_new_minus_old_on_old_a1</x:v>
      </x:c>
      <x:c r="B230" t="str">
        <x:f>"qid:586233275728240023"</x:f>
        <x:v>qid:586233275728240023</x:v>
      </x:c>
      <x:c r="C230" s="14" t="str">
        <x:v>What is the os of samsung smart tv?</x:v>
      </x:c>
      <x:c r="D230" s="14" t="str">
        <x:v>rewrite_faithful</x:v>
      </x:c>
      <x:c r="E230" s="14" t="str">
        <x:v>Samsung smart TVs use the Tizen operating system.</x:v>
      </x:c>
      <x:c r="F230" s="14" t="str">
        <x:v>The OS of Samsung smart TVs is Tizen</x:v>
      </x:c>
      <x:c r="G230" s="14" t="n">
        <x:v>1</x:v>
      </x:c>
      <x:c r="H230" s="14" t="n">
        <x:v>1</x:v>
      </x:c>
      <x:c r="I230" s="53" t="b">
        <x:v>1</x:v>
      </x:c>
      <x:c r="J230" s="14" t="str"/>
      <x:c r="K230" s="14" t="str"/>
    </x:row>
    <x:row r="231">
      <x:c r="A231" t="str">
        <x:v>a2_new_minus_old_on_old_a1</x:v>
      </x:c>
      <x:c r="B231" t="str">
        <x:f>"qid:6257465985316109835"</x:f>
        <x:v>qid:6257465985316109835</x:v>
      </x:c>
      <x:c r="C231" s="14" t="str">
        <x:v>Who is the main character in liv and maddie?</x:v>
      </x:c>
      <x:c r="D231" s="14" t="str">
        <x:v>atomic</x:v>
      </x:c>
      <x:c r="E231" s="14" t="str">
        <x:v>Liv Rooney is the main character in the television series Liv and Maddie.</x:v>
      </x:c>
      <x:c r="F231" s="14" t="str">
        <x:v>The main character in Liv and Maddie is Liv Rooney</x:v>
      </x:c>
      <x:c r="G231" s="14" t="n">
        <x:v>1</x:v>
      </x:c>
      <x:c r="H231" s="14" t="n">
        <x:v>1</x:v>
      </x:c>
      <x:c r="I231" s="53" t="b">
        <x:v>1</x:v>
      </x:c>
      <x:c r="J231" s="14" t="str"/>
      <x:c r="K231" s="14" t="str"/>
    </x:row>
    <x:row r="232">
      <x:c r="A232" t="str">
        <x:v>a2_new_minus_old_on_old_a1</x:v>
      </x:c>
      <x:c r="B232" t="str">
        <x:f>"qid:6257465985316109835"</x:f>
        <x:v>qid:6257465985316109835</x:v>
      </x:c>
      <x:c r="C232" s="14" t="str">
        <x:v>Who is the main character in liv and maddie?</x:v>
      </x:c>
      <x:c r="D232" s="14" t="str">
        <x:v>self_contained</x:v>
      </x:c>
      <x:c r="E232" s="14" t="str">
        <x:v>Liv Rooney is the main character in the television series Liv and Maddie.</x:v>
      </x:c>
      <x:c r="F232" s="14" t="str">
        <x:v>The main character in Liv and Maddie is Liv Rooney</x:v>
      </x:c>
      <x:c r="G232" s="14" t="n">
        <x:v>1</x:v>
      </x:c>
      <x:c r="H232" s="14" t="n">
        <x:v>1</x:v>
      </x:c>
      <x:c r="I232" s="53" t="b">
        <x:v>1</x:v>
      </x:c>
      <x:c r="J232" s="14" t="str"/>
      <x:c r="K232" s="14" t="str"/>
    </x:row>
    <x:row r="233">
      <x:c r="A233" t="str">
        <x:v>a2_new_minus_old_on_old_a1</x:v>
      </x:c>
      <x:c r="B233" t="str">
        <x:f>"qid:6257465985316109835"</x:f>
        <x:v>qid:6257465985316109835</x:v>
      </x:c>
      <x:c r="C233" s="14" t="str">
        <x:v>Who is the main character in liv and maddie?</x:v>
      </x:c>
      <x:c r="D233" s="14" t="str">
        <x:v>span_aligned</x:v>
      </x:c>
      <x:c r="E233" s="14" t="str">
        <x:v>Liv Rooney is the main character in the television series Liv and Maddie.</x:v>
      </x:c>
      <x:c r="F233" s="14" t="str">
        <x:v>The main character in Liv and Maddie is Liv Rooney</x:v>
      </x:c>
      <x:c r="G233" s="14" t="n">
        <x:v>1</x:v>
      </x:c>
      <x:c r="H233" s="14" t="n">
        <x:v>1</x:v>
      </x:c>
      <x:c r="I233" s="53" t="b">
        <x:v>1</x:v>
      </x:c>
      <x:c r="J233" s="14" t="str"/>
      <x:c r="K233" s="14" t="str"/>
    </x:row>
    <x:row r="234">
      <x:c r="A234" t="str">
        <x:v>a2_new_minus_old_on_old_a1</x:v>
      </x:c>
      <x:c r="B234" t="str">
        <x:f>"qid:6257465985316109835"</x:f>
        <x:v>qid:6257465985316109835</x:v>
      </x:c>
      <x:c r="C234" s="14" t="str">
        <x:v>Who is the main character in liv and maddie?</x:v>
      </x:c>
      <x:c r="D234" s="14" t="str">
        <x:v>rewrite_faithful</x:v>
      </x:c>
      <x:c r="E234" s="14" t="str">
        <x:v>Liv Rooney is the main character in the television series Liv and Maddie.</x:v>
      </x:c>
      <x:c r="F234" s="14" t="str">
        <x:v>The main character in Liv and Maddie is Liv Rooney</x:v>
      </x:c>
      <x:c r="G234" s="14" t="n">
        <x:v>1</x:v>
      </x:c>
      <x:c r="H234" s="14" t="n">
        <x:v>1</x:v>
      </x:c>
      <x:c r="I234" s="53" t="b">
        <x:v>1</x:v>
      </x:c>
      <x:c r="J234" s="14" t="str"/>
      <x:c r="K234" s="14" t="str"/>
    </x:row>
    <x:row r="235">
      <x:c r="A235" t="str">
        <x:v>a2_new_minus_old_on_old_a1</x:v>
      </x:c>
      <x:c r="B235" t="str">
        <x:f>"qid:6514531923811923780"</x:f>
        <x:v>qid:6514531923811923780</x:v>
      </x:c>
      <x:c r="C235" s="14" t="str">
        <x:v>When does disney's food and wine festival end?</x:v>
      </x:c>
      <x:c r="D235" s="14" t="str">
        <x:v>atomic</x:v>
      </x:c>
      <x:c r="E235" s="14" t="str">
        <x:v>The Disney's Food and Wine Festival also concluded on November 12, 2018.</x:v>
      </x:c>
      <x:c r="F235" s="14" t="str">
        <x:v>and also ends on November 12th, 2018</x:v>
      </x:c>
      <x:c r="G235" s="14" t="n">
        <x:v>1</x:v>
      </x:c>
      <x:c r="H235" s="14" t="n">
        <x:v>1</x:v>
      </x:c>
      <x:c r="I235" s="53" t="b">
        <x:v>1</x:v>
      </x:c>
      <x:c r="J235" s="14" t="str">
        <x:v>span_misaligned;meaning_changed</x:v>
      </x:c>
      <x:c r="K235" s="14" t="str">
        <x:v>span_misaligned;meaning_changed</x:v>
      </x:c>
    </x:row>
    <x:row r="236">
      <x:c r="A236" t="str">
        <x:v>a2_new_minus_old_on_old_a1</x:v>
      </x:c>
      <x:c r="B236" t="str">
        <x:f>"qid:6514531923811923780"</x:f>
        <x:v>qid:6514531923811923780</x:v>
      </x:c>
      <x:c r="C236" s="14" t="str">
        <x:v>When does disney's food and wine festival end?</x:v>
      </x:c>
      <x:c r="D236" s="14" t="str">
        <x:v>self_contained</x:v>
      </x:c>
      <x:c r="E236" s="14" t="str">
        <x:v>The Disney's Food and Wine Festival also concluded on November 12, 2018.</x:v>
      </x:c>
      <x:c r="F236" s="14" t="str">
        <x:v>and also ends on November 12th, 2018</x:v>
      </x:c>
      <x:c r="G236" s="14" t="n">
        <x:v>1</x:v>
      </x:c>
      <x:c r="H236" s="14" t="n">
        <x:v>1</x:v>
      </x:c>
      <x:c r="I236" s="53" t="b">
        <x:v>1</x:v>
      </x:c>
      <x:c r="J236" s="14" t="str">
        <x:v>span_misaligned;meaning_changed</x:v>
      </x:c>
      <x:c r="K236" s="14" t="str">
        <x:v>span_misaligned;meaning_changed</x:v>
      </x:c>
    </x:row>
    <x:row r="237">
      <x:c r="A237" t="str">
        <x:v>a2_new_minus_old_on_old_a1</x:v>
      </x:c>
      <x:c r="B237" t="str">
        <x:f>"qid:6514531923811923780"</x:f>
        <x:v>qid:6514531923811923780</x:v>
      </x:c>
      <x:c r="C237" s="14" t="str">
        <x:v>When does disney's food and wine festival end?</x:v>
      </x:c>
      <x:c r="D237" s="14" t="str">
        <x:v>span_aligned</x:v>
      </x:c>
      <x:c r="E237" s="14" t="str">
        <x:v>The Disney's Food and Wine Festival also concluded on November 12, 2018.</x:v>
      </x:c>
      <x:c r="F237" s="14" t="str">
        <x:v>and also ends on November 12th, 2018</x:v>
      </x:c>
      <x:c r="G237" s="14" t="n">
        <x:v>0</x:v>
      </x:c>
      <x:c r="H237" s="14" t="n">
        <x:v>0</x:v>
      </x:c>
      <x:c r="I237" s="53" t="b">
        <x:v>1</x:v>
      </x:c>
      <x:c r="J237" s="14" t="str">
        <x:v>span_misaligned;meaning_changed</x:v>
      </x:c>
      <x:c r="K237" s="14" t="str">
        <x:v>span_misaligned;meaning_changed</x:v>
      </x:c>
    </x:row>
    <x:row r="238">
      <x:c r="A238" t="str">
        <x:v>a2_new_minus_old_on_old_a1</x:v>
      </x:c>
      <x:c r="B238" t="str">
        <x:f>"qid:6514531923811923780"</x:f>
        <x:v>qid:6514531923811923780</x:v>
      </x:c>
      <x:c r="C238" s="14" t="str">
        <x:v>When does disney's food and wine festival end?</x:v>
      </x:c>
      <x:c r="D238" s="14" t="str">
        <x:v>rewrite_faithful</x:v>
      </x:c>
      <x:c r="E238" s="14" t="str">
        <x:v>The Disney's Food and Wine Festival also concluded on November 12, 2018.</x:v>
      </x:c>
      <x:c r="F238" s="14" t="str">
        <x:v>and also ends on November 12th, 2018</x:v>
      </x:c>
      <x:c r="G238" s="14" t="n">
        <x:v>0</x:v>
      </x:c>
      <x:c r="H238" s="14" t="n">
        <x:v>0</x:v>
      </x:c>
      <x:c r="I238" s="53" t="b">
        <x:v>1</x:v>
      </x:c>
      <x:c r="J238" s="14" t="str">
        <x:v>span_misaligned;meaning_changed</x:v>
      </x:c>
      <x:c r="K238" s="14" t="str">
        <x:v>span_misaligned;meaning_changed</x:v>
      </x:c>
    </x:row>
    <x:row r="239">
      <x:c r="A239" t="str">
        <x:v>a2_new_minus_old_on_old_a1</x:v>
      </x:c>
      <x:c r="B239" t="str">
        <x:f>"qid:6776234528515962047"</x:f>
        <x:v>qid:6776234528515962047</x:v>
      </x:c>
      <x:c r="C239" s="14" t="str">
        <x:v>Who is the most run in cricket history?</x:v>
      </x:c>
      <x:c r="D239" s="14" t="str">
        <x:v>atomic</x:v>
      </x:c>
      <x:c r="E239" s="14" t="str">
        <x:v>The described individual holds the record for the most runs scored in cricket history.</x:v>
      </x:c>
      <x:c r="F239" s="14" t="str">
        <x:v>The evidence [4] states that the individual who is described as "the leading run scorer in Tests, with 15,921 runs, as well as in One-Day Internationals, with 18,426 runs" is the most run scorer in cricket history.</x:v>
      </x:c>
      <x:c r="G239" s="14" t="n">
        <x:v>1</x:v>
      </x:c>
      <x:c r="H239" s="14" t="n">
        <x:v>0</x:v>
      </x:c>
      <x:c r="I239" s="53" t="b">
        <x:v>0</x:v>
      </x:c>
      <x:c r="J239" s="14" t="str">
        <x:v>unresolved_reference</x:v>
      </x:c>
      <x:c r="K239" s="14" t="str">
        <x:v>multi_fact</x:v>
      </x:c>
    </x:row>
    <x:row r="240">
      <x:c r="A240" t="str">
        <x:v>a2_new_minus_old_on_old_a1</x:v>
      </x:c>
      <x:c r="B240" t="str">
        <x:f>"qid:6776234528515962047"</x:f>
        <x:v>qid:6776234528515962047</x:v>
      </x:c>
      <x:c r="C240" s="14" t="str">
        <x:v>Who is the most run in cricket history?</x:v>
      </x:c>
      <x:c r="D240" s="14" t="str">
        <x:v>self_contained</x:v>
      </x:c>
      <x:c r="E240" s="14" t="str">
        <x:v>The described individual holds the record for the most runs scored in cricket history.</x:v>
      </x:c>
      <x:c r="F240" s="14" t="str">
        <x:v>The evidence [4] states that the individual who is described as "the leading run scorer in Tests, with 15,921 runs, as well as in One-Day Internationals, with 18,426 runs" is the most run scorer in cricket history.</x:v>
      </x:c>
      <x:c r="G240" s="14" t="n">
        <x:v>0</x:v>
      </x:c>
      <x:c r="H240" s="14" t="n">
        <x:v>1</x:v>
      </x:c>
      <x:c r="I240" s="53" t="b">
        <x:v>0</x:v>
      </x:c>
      <x:c r="J240" s="14" t="str">
        <x:v>unresolved_reference</x:v>
      </x:c>
      <x:c r="K240" s="14" t="str">
        <x:v>multi_fact</x:v>
      </x:c>
    </x:row>
    <x:row r="241">
      <x:c r="A241" t="str">
        <x:v>a2_new_minus_old_on_old_a1</x:v>
      </x:c>
      <x:c r="B241" t="str">
        <x:f>"qid:6776234528515962047"</x:f>
        <x:v>qid:6776234528515962047</x:v>
      </x:c>
      <x:c r="C241" s="14" t="str">
        <x:v>Who is the most run in cricket history?</x:v>
      </x:c>
      <x:c r="D241" s="14" t="str">
        <x:v>span_aligned</x:v>
      </x:c>
      <x:c r="E241" s="14" t="str">
        <x:v>The described individual holds the record for the most runs scored in cricket history.</x:v>
      </x:c>
      <x:c r="F241" s="14" t="str">
        <x:v>The evidence [4] states that the individual who is described as "the leading run scorer in Tests, with 15,921 runs, as well as in One-Day Internationals, with 18,426 runs" is the most run scorer in cricket history.</x:v>
      </x:c>
      <x:c r="G241" s="14" t="n">
        <x:v>1</x:v>
      </x:c>
      <x:c r="H241" s="14" t="n">
        <x:v>1</x:v>
      </x:c>
      <x:c r="I241" s="53" t="b">
        <x:v>1</x:v>
      </x:c>
      <x:c r="J241" s="14" t="str">
        <x:v>unresolved_reference</x:v>
      </x:c>
      <x:c r="K241" s="14" t="str">
        <x:v>multi_fact</x:v>
      </x:c>
    </x:row>
    <x:row r="242">
      <x:c r="A242" t="str">
        <x:v>a2_new_minus_old_on_old_a1</x:v>
      </x:c>
      <x:c r="B242" t="str">
        <x:f>"qid:6776234528515962047"</x:f>
        <x:v>qid:6776234528515962047</x:v>
      </x:c>
      <x:c r="C242" s="14" t="str">
        <x:v>Who is the most run in cricket history?</x:v>
      </x:c>
      <x:c r="D242" s="14" t="str">
        <x:v>rewrite_faithful</x:v>
      </x:c>
      <x:c r="E242" s="14" t="str">
        <x:v>The described individual holds the record for the most runs scored in cricket history.</x:v>
      </x:c>
      <x:c r="F242" s="14" t="str">
        <x:v>The evidence [4] states that the individual who is described as "the leading run scorer in Tests, with 15,921 runs, as well as in One-Day Internationals, with 18,426 runs" is the most run scorer in cricket history.</x:v>
      </x:c>
      <x:c r="G242" s="14" t="n">
        <x:v>1</x:v>
      </x:c>
      <x:c r="H242" s="14" t="n">
        <x:v>1</x:v>
      </x:c>
      <x:c r="I242" s="53" t="b">
        <x:v>1</x:v>
      </x:c>
      <x:c r="J242" s="14" t="str">
        <x:v>unresolved_reference</x:v>
      </x:c>
      <x:c r="K242" s="14" t="str">
        <x:v>multi_fact</x:v>
      </x:c>
    </x:row>
    <x:row r="243">
      <x:c r="A243" t="str">
        <x:v>a2_new_minus_old_on_old_a1</x:v>
      </x:c>
      <x:c r="B243" t="str">
        <x:f>"qid:6962706727076805207"</x:f>
        <x:v>qid:6962706727076805207</x:v>
      </x:c>
      <x:c r="C243" s="14" t="str">
        <x:v>What kind of car in to catch a thief?</x:v>
      </x:c>
      <x:c r="D243" s="14" t="str">
        <x:v>atomic</x:v>
      </x:c>
      <x:c r="E243" s="14" t="str">
        <x:v>A bait car is a type of vehicle used in anti-theft operations, known by several names including decoy car, hot car, and trap car.</x:v>
      </x:c>
      <x:c r="F243" s="14" t="str">
        <x:v>The kind of car used to catch a thief is called a bait car, also referred to as a decoy car, hot car, or trap car.</x:v>
      </x:c>
      <x:c r="G243" s="14" t="n">
        <x:v>0</x:v>
      </x:c>
      <x:c r="H243" s="14" t="n">
        <x:v>0</x:v>
      </x:c>
      <x:c r="I243" s="53" t="b">
        <x:v>1</x:v>
      </x:c>
      <x:c r="J243" s="14" t="str">
        <x:v>multi_fact</x:v>
      </x:c>
      <x:c r="K243" s="14" t="str">
        <x:v>multi_fact</x:v>
      </x:c>
    </x:row>
    <x:row r="244">
      <x:c r="A244" t="str">
        <x:v>a2_new_minus_old_on_old_a1</x:v>
      </x:c>
      <x:c r="B244" t="str">
        <x:f>"qid:6962706727076805207"</x:f>
        <x:v>qid:6962706727076805207</x:v>
      </x:c>
      <x:c r="C244" s="14" t="str">
        <x:v>What kind of car in to catch a thief?</x:v>
      </x:c>
      <x:c r="D244" s="14" t="str">
        <x:v>self_contained</x:v>
      </x:c>
      <x:c r="E244" s="14" t="str">
        <x:v>A bait car is a type of vehicle used in anti-theft operations, known by several names including decoy car, hot car, and trap car.</x:v>
      </x:c>
      <x:c r="F244" s="14" t="str">
        <x:v>The kind of car used to catch a thief is called a bait car, also referred to as a decoy car, hot car, or trap car.</x:v>
      </x:c>
      <x:c r="G244" s="14" t="n">
        <x:v>1</x:v>
      </x:c>
      <x:c r="H244" s="14" t="n">
        <x:v>1</x:v>
      </x:c>
      <x:c r="I244" s="53" t="b">
        <x:v>1</x:v>
      </x:c>
      <x:c r="J244" s="14" t="str">
        <x:v>multi_fact</x:v>
      </x:c>
      <x:c r="K244" s="14" t="str">
        <x:v>multi_fact</x:v>
      </x:c>
    </x:row>
    <x:row r="245">
      <x:c r="A245" t="str">
        <x:v>a2_new_minus_old_on_old_a1</x:v>
      </x:c>
      <x:c r="B245" t="str">
        <x:f>"qid:6962706727076805207"</x:f>
        <x:v>qid:6962706727076805207</x:v>
      </x:c>
      <x:c r="C245" s="14" t="str">
        <x:v>What kind of car in to catch a thief?</x:v>
      </x:c>
      <x:c r="D245" s="14" t="str">
        <x:v>span_aligned</x:v>
      </x:c>
      <x:c r="E245" s="14" t="str">
        <x:v>A bait car is a type of vehicle used in anti-theft operations, known by several names including decoy car, hot car, and trap car.</x:v>
      </x:c>
      <x:c r="F245" s="14" t="str">
        <x:v>The kind of car used to catch a thief is called a bait car, also referred to as a decoy car, hot car, or trap car.</x:v>
      </x:c>
      <x:c r="G245" s="14" t="n">
        <x:v>1</x:v>
      </x:c>
      <x:c r="H245" s="14" t="n">
        <x:v>1</x:v>
      </x:c>
      <x:c r="I245" s="53" t="b">
        <x:v>1</x:v>
      </x:c>
      <x:c r="J245" s="14" t="str">
        <x:v>multi_fact</x:v>
      </x:c>
      <x:c r="K245" s="14" t="str">
        <x:v>multi_fact</x:v>
      </x:c>
    </x:row>
    <x:row r="246">
      <x:c r="A246" t="str">
        <x:v>a2_new_minus_old_on_old_a1</x:v>
      </x:c>
      <x:c r="B246" t="str">
        <x:f>"qid:6962706727076805207"</x:f>
        <x:v>qid:6962706727076805207</x:v>
      </x:c>
      <x:c r="C246" s="14" t="str">
        <x:v>What kind of car in to catch a thief?</x:v>
      </x:c>
      <x:c r="D246" s="14" t="str">
        <x:v>rewrite_faithful</x:v>
      </x:c>
      <x:c r="E246" s="14" t="str">
        <x:v>A bait car is a type of vehicle used in anti-theft operations, known by several names including decoy car, hot car, and trap car.</x:v>
      </x:c>
      <x:c r="F246" s="14" t="str">
        <x:v>The kind of car used to catch a thief is called a bait car, also referred to as a decoy car, hot car, or trap car.</x:v>
      </x:c>
      <x:c r="G246" s="14" t="n">
        <x:v>1</x:v>
      </x:c>
      <x:c r="H246" s="14" t="n">
        <x:v>1</x:v>
      </x:c>
      <x:c r="I246" s="53" t="b">
        <x:v>1</x:v>
      </x:c>
      <x:c r="J246" s="14" t="str">
        <x:v>multi_fact</x:v>
      </x:c>
      <x:c r="K246" s="14" t="str">
        <x:v>multi_fact</x:v>
      </x:c>
    </x:row>
    <x:row r="247">
      <x:c r="A247" t="str">
        <x:v>a2_new_minus_old_on_old_a1</x:v>
      </x:c>
      <x:c r="B247" t="str">
        <x:f>"qid:6962706727076805207"</x:f>
        <x:v>qid:6962706727076805207</x:v>
      </x:c>
      <x:c r="C247" s="14" t="str">
        <x:v>What kind of car in to catch a thief?</x:v>
      </x:c>
      <x:c r="D247" s="14" t="str">
        <x:v>atomic</x:v>
      </x:c>
      <x:c r="E247" s="14" t="str">
        <x:v>Bait cars are equipped with audio and video surveillance technology for remote monitoring by law enforcement.</x:v>
      </x:c>
      <x:c r="F247" s="14" t="str">
        <x:v>These vehicles are specifically modified with audio/video surveillance technology and can be remotely monitored and controlled by law enforcement.</x:v>
      </x:c>
      <x:c r="G247" s="14" t="n">
        <x:v>1</x:v>
      </x:c>
      <x:c r="H247" s="14" t="n">
        <x:v>1</x:v>
      </x:c>
      <x:c r="I247" s="53" t="b">
        <x:v>1</x:v>
      </x:c>
      <x:c r="J247" s="14" t="str">
        <x:v>span_misaligned;meaning_changed</x:v>
      </x:c>
      <x:c r="K247" s="14" t="str">
        <x:v>span_misaligned;meaning_changed</x:v>
      </x:c>
    </x:row>
    <x:row r="248">
      <x:c r="A248" t="str">
        <x:v>a2_new_minus_old_on_old_a1</x:v>
      </x:c>
      <x:c r="B248" t="str">
        <x:f>"qid:6962706727076805207"</x:f>
        <x:v>qid:6962706727076805207</x:v>
      </x:c>
      <x:c r="C248" s="14" t="str">
        <x:v>What kind of car in to catch a thief?</x:v>
      </x:c>
      <x:c r="D248" s="14" t="str">
        <x:v>self_contained</x:v>
      </x:c>
      <x:c r="E248" s="14" t="str">
        <x:v>Bait cars are equipped with audio and video surveillance technology for remote monitoring by law enforcement.</x:v>
      </x:c>
      <x:c r="F248" s="14" t="str">
        <x:v>These vehicles are specifically modified with audio/video surveillance technology and can be remotely monitored and controlled by law enforcement.</x:v>
      </x:c>
      <x:c r="G248" s="14" t="n">
        <x:v>1</x:v>
      </x:c>
      <x:c r="H248" s="14" t="n">
        <x:v>1</x:v>
      </x:c>
      <x:c r="I248" s="53" t="b">
        <x:v>1</x:v>
      </x:c>
      <x:c r="J248" s="14" t="str">
        <x:v>span_misaligned;meaning_changed</x:v>
      </x:c>
      <x:c r="K248" s="14" t="str">
        <x:v>span_misaligned;meaning_changed</x:v>
      </x:c>
    </x:row>
    <x:row r="249">
      <x:c r="A249" t="str">
        <x:v>a2_new_minus_old_on_old_a1</x:v>
      </x:c>
      <x:c r="B249" t="str">
        <x:f>"qid:6962706727076805207"</x:f>
        <x:v>qid:6962706727076805207</x:v>
      </x:c>
      <x:c r="C249" s="14" t="str">
        <x:v>What kind of car in to catch a thief?</x:v>
      </x:c>
      <x:c r="D249" s="14" t="str">
        <x:v>span_aligned</x:v>
      </x:c>
      <x:c r="E249" s="14" t="str">
        <x:v>Bait cars are equipped with audio and video surveillance technology for remote monitoring by law enforcement.</x:v>
      </x:c>
      <x:c r="F249" s="14" t="str">
        <x:v>These vehicles are specifically modified with audio/video surveillance technology and can be remotely monitored and controlled by law enforcement.</x:v>
      </x:c>
      <x:c r="G249" s="14" t="n">
        <x:v>0</x:v>
      </x:c>
      <x:c r="H249" s="14" t="n">
        <x:v>0</x:v>
      </x:c>
      <x:c r="I249" s="53" t="b">
        <x:v>1</x:v>
      </x:c>
      <x:c r="J249" s="14" t="str">
        <x:v>span_misaligned;meaning_changed</x:v>
      </x:c>
      <x:c r="K249" s="14" t="str">
        <x:v>span_misaligned;meaning_changed</x:v>
      </x:c>
    </x:row>
    <x:row r="250">
      <x:c r="A250" t="str">
        <x:v>a2_new_minus_old_on_old_a1</x:v>
      </x:c>
      <x:c r="B250" t="str">
        <x:f>"qid:6962706727076805207"</x:f>
        <x:v>qid:6962706727076805207</x:v>
      </x:c>
      <x:c r="C250" s="14" t="str">
        <x:v>What kind of car in to catch a thief?</x:v>
      </x:c>
      <x:c r="D250" s="14" t="str">
        <x:v>rewrite_faithful</x:v>
      </x:c>
      <x:c r="E250" s="14" t="str">
        <x:v>Bait cars are equipped with audio and video surveillance technology for remote monitoring by law enforcement.</x:v>
      </x:c>
      <x:c r="F250" s="14" t="str">
        <x:v>These vehicles are specifically modified with audio/video surveillance technology and can be remotely monitored and controlled by law enforcement.</x:v>
      </x:c>
      <x:c r="G250" s="14" t="n">
        <x:v>0</x:v>
      </x:c>
      <x:c r="H250" s="14" t="n">
        <x:v>0</x:v>
      </x:c>
      <x:c r="I250" s="53" t="b">
        <x:v>1</x:v>
      </x:c>
      <x:c r="J250" s="14" t="str">
        <x:v>span_misaligned;meaning_changed</x:v>
      </x:c>
      <x:c r="K250" s="14" t="str">
        <x:v>span_misaligned;meaning_changed</x:v>
      </x:c>
    </x:row>
    <x:row r="251">
      <x:c r="A251" t="str">
        <x:v>a2_new_minus_old_on_old_a1</x:v>
      </x:c>
      <x:c r="B251" t="str">
        <x:f>"qid:6962706727076805207"</x:f>
        <x:v>qid:6962706727076805207</x:v>
      </x:c>
      <x:c r="C251" s="14" t="str">
        <x:v>What kind of car in to catch a thief?</x:v>
      </x:c>
      <x:c r="D251" s="14" t="str">
        <x:v>atomic</x:v>
      </x:c>
      <x:c r="E251" s="14" t="str">
        <x:v>Some bait cars feature GPS tracking and a kill switch mechanism to remotely disable the vehicle and lock its doors.</x:v>
      </x:c>
      <x:c r="F251" s="14" t="str">
        <x:v>They may include GPS tracking and a "kill switch" that allows police to remotely disable the engine and lock the doors, preventing the thief from escaping.</x:v>
      </x:c>
      <x:c r="G251" s="14" t="n">
        <x:v>1</x:v>
      </x:c>
      <x:c r="H251" s="14" t="n">
        <x:v>1</x:v>
      </x:c>
      <x:c r="I251" s="53" t="b">
        <x:v>1</x:v>
      </x:c>
      <x:c r="J251" s="14" t="str">
        <x:v>span_misaligned;meaning_changed</x:v>
      </x:c>
      <x:c r="K251" s="14" t="str">
        <x:v>unresolved_reference</x:v>
      </x:c>
    </x:row>
    <x:row r="252">
      <x:c r="A252" t="str">
        <x:v>a2_new_minus_old_on_old_a1</x:v>
      </x:c>
      <x:c r="B252" t="str">
        <x:f>"qid:6962706727076805207"</x:f>
        <x:v>qid:6962706727076805207</x:v>
      </x:c>
      <x:c r="C252" s="14" t="str">
        <x:v>What kind of car in to catch a thief?</x:v>
      </x:c>
      <x:c r="D252" s="14" t="str">
        <x:v>self_contained</x:v>
      </x:c>
      <x:c r="E252" s="14" t="str">
        <x:v>Some bait cars feature GPS tracking and a kill switch mechanism to remotely disable the vehicle and lock its doors.</x:v>
      </x:c>
      <x:c r="F252" s="14" t="str">
        <x:v>They may include GPS tracking and a "kill switch" that allows police to remotely disable the engine and lock the doors, preventing the thief from escaping.</x:v>
      </x:c>
      <x:c r="G252" s="14" t="n">
        <x:v>1</x:v>
      </x:c>
      <x:c r="H252" s="14" t="n">
        <x:v>0</x:v>
      </x:c>
      <x:c r="I252" s="53" t="b">
        <x:v>0</x:v>
      </x:c>
      <x:c r="J252" s="14" t="str">
        <x:v>span_misaligned;meaning_changed</x:v>
      </x:c>
      <x:c r="K252" s="14" t="str">
        <x:v>unresolved_reference</x:v>
      </x:c>
    </x:row>
    <x:row r="253">
      <x:c r="A253" t="str">
        <x:v>a2_new_minus_old_on_old_a1</x:v>
      </x:c>
      <x:c r="B253" t="str">
        <x:f>"qid:6962706727076805207"</x:f>
        <x:v>qid:6962706727076805207</x:v>
      </x:c>
      <x:c r="C253" s="14" t="str">
        <x:v>What kind of car in to catch a thief?</x:v>
      </x:c>
      <x:c r="D253" s="14" t="str">
        <x:v>span_aligned</x:v>
      </x:c>
      <x:c r="E253" s="14" t="str">
        <x:v>Some bait cars feature GPS tracking and a kill switch mechanism to remotely disable the vehicle and lock its doors.</x:v>
      </x:c>
      <x:c r="F253" s="14" t="str">
        <x:v>They may include GPS tracking and a "kill switch" that allows police to remotely disable the engine and lock the doors, preventing the thief from escaping.</x:v>
      </x:c>
      <x:c r="G253" s="14" t="n">
        <x:v>0</x:v>
      </x:c>
      <x:c r="H253" s="14" t="n">
        <x:v>1</x:v>
      </x:c>
      <x:c r="I253" s="53" t="b">
        <x:v>0</x:v>
      </x:c>
      <x:c r="J253" s="14" t="str">
        <x:v>span_misaligned;meaning_changed</x:v>
      </x:c>
      <x:c r="K253" s="14" t="str">
        <x:v>unresolved_reference</x:v>
      </x:c>
    </x:row>
    <x:row r="254">
      <x:c r="A254" t="str">
        <x:v>a2_new_minus_old_on_old_a1</x:v>
      </x:c>
      <x:c r="B254" t="str">
        <x:f>"qid:6962706727076805207"</x:f>
        <x:v>qid:6962706727076805207</x:v>
      </x:c>
      <x:c r="C254" s="14" t="str">
        <x:v>What kind of car in to catch a thief?</x:v>
      </x:c>
      <x:c r="D254" s="14" t="str">
        <x:v>rewrite_faithful</x:v>
      </x:c>
      <x:c r="E254" s="14" t="str">
        <x:v>Some bait cars feature GPS tracking and a kill switch mechanism to remotely disable the vehicle and lock its doors.</x:v>
      </x:c>
      <x:c r="F254" s="14" t="str">
        <x:v>They may include GPS tracking and a "kill switch" that allows police to remotely disable the engine and lock the doors, preventing the thief from escaping.</x:v>
      </x:c>
      <x:c r="G254" s="14" t="n">
        <x:v>0</x:v>
      </x:c>
      <x:c r="H254" s="14" t="n">
        <x:v>1</x:v>
      </x:c>
      <x:c r="I254" s="53" t="b">
        <x:v>0</x:v>
      </x:c>
      <x:c r="J254" s="14" t="str">
        <x:v>span_misaligned;meaning_changed</x:v>
      </x:c>
      <x:c r="K254" s="14" t="str">
        <x:v>unresolved_reference</x:v>
      </x:c>
    </x:row>
    <x:row r="255">
      <x:c r="A255" t="str">
        <x:v>a2_new_minus_old_on_old_a1</x:v>
      </x:c>
      <x:c r="B255" t="str">
        <x:f>"qid:7150599999316106461"</x:f>
        <x:v>qid:7150599999316106461</x:v>
      </x:c>
      <x:c r="C255" s="14" t="str">
        <x:v>Who was the first singing brothers in the hall of fame?</x:v>
      </x:c>
      <x:c r="D255" s="14" t="str">
        <x:v>atomic</x:v>
      </x:c>
      <x:c r="E255" s="14" t="str">
        <x:v>The Everly Brothers were inducted into the Country Music Hall of Fame in 2001.</x:v>
      </x:c>
      <x:c r="F255" s="14" t="str">
        <x:v>They were also inducted into the Country Music Hall of Fame in 2001</x:v>
      </x:c>
      <x:c r="G255" s="14" t="n">
        <x:v>1</x:v>
      </x:c>
      <x:c r="H255" s="14" t="n">
        <x:v>1</x:v>
      </x:c>
      <x:c r="I255" s="53" t="b">
        <x:v>1</x:v>
      </x:c>
      <x:c r="J255" s="14" t="str">
        <x:v>span_misaligned;meaning_changed</x:v>
      </x:c>
      <x:c r="K255" s="14" t="str">
        <x:v>span_misaligned;meaning_changed</x:v>
      </x:c>
    </x:row>
    <x:row r="256">
      <x:c r="A256" t="str">
        <x:v>a2_new_minus_old_on_old_a1</x:v>
      </x:c>
      <x:c r="B256" t="str">
        <x:f>"qid:7150599999316106461"</x:f>
        <x:v>qid:7150599999316106461</x:v>
      </x:c>
      <x:c r="C256" s="14" t="str">
        <x:v>Who was the first singing brothers in the hall of fame?</x:v>
      </x:c>
      <x:c r="D256" s="14" t="str">
        <x:v>self_contained</x:v>
      </x:c>
      <x:c r="E256" s="14" t="str">
        <x:v>The Everly Brothers were inducted into the Country Music Hall of Fame in 2001.</x:v>
      </x:c>
      <x:c r="F256" s="14" t="str">
        <x:v>They were also inducted into the Country Music Hall of Fame in 2001</x:v>
      </x:c>
      <x:c r="G256" s="14" t="n">
        <x:v>1</x:v>
      </x:c>
      <x:c r="H256" s="14" t="n">
        <x:v>1</x:v>
      </x:c>
      <x:c r="I256" s="53" t="b">
        <x:v>1</x:v>
      </x:c>
      <x:c r="J256" s="14" t="str">
        <x:v>span_misaligned;meaning_changed</x:v>
      </x:c>
      <x:c r="K256" s="14" t="str">
        <x:v>span_misaligned;meaning_changed</x:v>
      </x:c>
    </x:row>
    <x:row r="257">
      <x:c r="A257" t="str">
        <x:v>a2_new_minus_old_on_old_a1</x:v>
      </x:c>
      <x:c r="B257" t="str">
        <x:f>"qid:7150599999316106461"</x:f>
        <x:v>qid:7150599999316106461</x:v>
      </x:c>
      <x:c r="C257" s="14" t="str">
        <x:v>Who was the first singing brothers in the hall of fame?</x:v>
      </x:c>
      <x:c r="D257" s="14" t="str">
        <x:v>span_aligned</x:v>
      </x:c>
      <x:c r="E257" s="14" t="str">
        <x:v>The Everly Brothers were inducted into the Country Music Hall of Fame in 2001.</x:v>
      </x:c>
      <x:c r="F257" s="14" t="str">
        <x:v>They were also inducted into the Country Music Hall of Fame in 2001</x:v>
      </x:c>
      <x:c r="G257" s="14" t="n">
        <x:v>0</x:v>
      </x:c>
      <x:c r="H257" s="14" t="n">
        <x:v>0</x:v>
      </x:c>
      <x:c r="I257" s="53" t="b">
        <x:v>1</x:v>
      </x:c>
      <x:c r="J257" s="14" t="str">
        <x:v>span_misaligned;meaning_changed</x:v>
      </x:c>
      <x:c r="K257" s="14" t="str">
        <x:v>span_misaligned;meaning_changed</x:v>
      </x:c>
    </x:row>
    <x:row r="258">
      <x:c r="A258" t="str">
        <x:v>a2_new_minus_old_on_old_a1</x:v>
      </x:c>
      <x:c r="B258" t="str">
        <x:f>"qid:7150599999316106461"</x:f>
        <x:v>qid:7150599999316106461</x:v>
      </x:c>
      <x:c r="C258" s="14" t="str">
        <x:v>Who was the first singing brothers in the hall of fame?</x:v>
      </x:c>
      <x:c r="D258" s="14" t="str">
        <x:v>rewrite_faithful</x:v>
      </x:c>
      <x:c r="E258" s="14" t="str">
        <x:v>The Everly Brothers were inducted into the Country Music Hall of Fame in 2001.</x:v>
      </x:c>
      <x:c r="F258" s="14" t="str">
        <x:v>They were also inducted into the Country Music Hall of Fame in 2001</x:v>
      </x:c>
      <x:c r="G258" s="14" t="n">
        <x:v>0</x:v>
      </x:c>
      <x:c r="H258" s="14" t="n">
        <x:v>0</x:v>
      </x:c>
      <x:c r="I258" s="53" t="b">
        <x:v>1</x:v>
      </x:c>
      <x:c r="J258" s="14" t="str">
        <x:v>span_misaligned;meaning_changed</x:v>
      </x:c>
      <x:c r="K258" s="14" t="str">
        <x:v>span_misaligned;meaning_changed</x:v>
      </x:c>
    </x:row>
    <x:row r="259">
      <x:c r="A259" t="str">
        <x:v>a2_new_minus_old_on_old_a1</x:v>
      </x:c>
      <x:c r="B259" t="str">
        <x:f>"qid:7150599999316106461"</x:f>
        <x:v>qid:7150599999316106461</x:v>
      </x:c>
      <x:c r="C259" s="14" t="str">
        <x:v>Who was the first singing brothers in the hall of fame?</x:v>
      </x:c>
      <x:c r="D259" s="14" t="str">
        <x:v>atomic</x:v>
      </x:c>
      <x:c r="E259" s="14" t="str">
        <x:v>The Everly Brothers were the first singing brothers to be inducted into the Rock and Roll Hall of Fame, which occurred in 1986.</x:v>
      </x:c>
      <x:c r="F259" s="14" t="str">
        <x:v>The Everly Brothers were the first singing brothers inducted into the Rock and Roll Hall of Fame in 1986</x:v>
      </x:c>
      <x:c r="G259" s="14" t="n">
        <x:v>1</x:v>
      </x:c>
      <x:c r="H259" s="14" t="n">
        <x:v>1</x:v>
      </x:c>
      <x:c r="I259" s="53" t="b">
        <x:v>1</x:v>
      </x:c>
      <x:c r="J259" s="14" t="str"/>
      <x:c r="K259" s="14" t="str"/>
    </x:row>
    <x:row r="260">
      <x:c r="A260" t="str">
        <x:v>a2_new_minus_old_on_old_a1</x:v>
      </x:c>
      <x:c r="B260" t="str">
        <x:f>"qid:7150599999316106461"</x:f>
        <x:v>qid:7150599999316106461</x:v>
      </x:c>
      <x:c r="C260" s="14" t="str">
        <x:v>Who was the first singing brothers in the hall of fame?</x:v>
      </x:c>
      <x:c r="D260" s="14" t="str">
        <x:v>self_contained</x:v>
      </x:c>
      <x:c r="E260" s="14" t="str">
        <x:v>The Everly Brothers were the first singing brothers to be inducted into the Rock and Roll Hall of Fame, which occurred in 1986.</x:v>
      </x:c>
      <x:c r="F260" s="14" t="str">
        <x:v>The Everly Brothers were the first singing brothers inducted into the Rock and Roll Hall of Fame in 1986</x:v>
      </x:c>
      <x:c r="G260" s="14" t="n">
        <x:v>1</x:v>
      </x:c>
      <x:c r="H260" s="14" t="n">
        <x:v>1</x:v>
      </x:c>
      <x:c r="I260" s="53" t="b">
        <x:v>1</x:v>
      </x:c>
      <x:c r="J260" s="14" t="str"/>
      <x:c r="K260" s="14" t="str"/>
    </x:row>
    <x:row r="261">
      <x:c r="A261" t="str">
        <x:v>a2_new_minus_old_on_old_a1</x:v>
      </x:c>
      <x:c r="B261" t="str">
        <x:f>"qid:7150599999316106461"</x:f>
        <x:v>qid:7150599999316106461</x:v>
      </x:c>
      <x:c r="C261" s="14" t="str">
        <x:v>Who was the first singing brothers in the hall of fame?</x:v>
      </x:c>
      <x:c r="D261" s="14" t="str">
        <x:v>span_aligned</x:v>
      </x:c>
      <x:c r="E261" s="14" t="str">
        <x:v>The Everly Brothers were the first singing brothers to be inducted into the Rock and Roll Hall of Fame, which occurred in 1986.</x:v>
      </x:c>
      <x:c r="F261" s="14" t="str">
        <x:v>The Everly Brothers were the first singing brothers inducted into the Rock and Roll Hall of Fame in 1986</x:v>
      </x:c>
      <x:c r="G261" s="14" t="n">
        <x:v>1</x:v>
      </x:c>
      <x:c r="H261" s="14" t="n">
        <x:v>1</x:v>
      </x:c>
      <x:c r="I261" s="53" t="b">
        <x:v>1</x:v>
      </x:c>
      <x:c r="J261" s="14" t="str"/>
      <x:c r="K261" s="14" t="str"/>
    </x:row>
    <x:row r="262">
      <x:c r="A262" t="str">
        <x:v>a2_new_minus_old_on_old_a1</x:v>
      </x:c>
      <x:c r="B262" t="str">
        <x:f>"qid:7150599999316106461"</x:f>
        <x:v>qid:7150599999316106461</x:v>
      </x:c>
      <x:c r="C262" s="14" t="str">
        <x:v>Who was the first singing brothers in the hall of fame?</x:v>
      </x:c>
      <x:c r="D262" s="14" t="str">
        <x:v>rewrite_faithful</x:v>
      </x:c>
      <x:c r="E262" s="14" t="str">
        <x:v>The Everly Brothers were the first singing brothers to be inducted into the Rock and Roll Hall of Fame, which occurred in 1986.</x:v>
      </x:c>
      <x:c r="F262" s="14" t="str">
        <x:v>The Everly Brothers were the first singing brothers inducted into the Rock and Roll Hall of Fame in 1986</x:v>
      </x:c>
      <x:c r="G262" s="14" t="n">
        <x:v>1</x:v>
      </x:c>
      <x:c r="H262" s="14" t="n">
        <x:v>1</x:v>
      </x:c>
      <x:c r="I262" s="53" t="b">
        <x:v>1</x:v>
      </x:c>
      <x:c r="J262" s="14" t="str"/>
      <x:c r="K262" s="14" t="str"/>
    </x:row>
    <x:row r="263">
      <x:c r="A263" t="str">
        <x:v>a2_new_minus_old_on_old_a1</x:v>
      </x:c>
      <x:c r="B263" t="str">
        <x:f>"qid:732619765350082410"</x:f>
        <x:v>qid:732619765350082410</x:v>
      </x:c>
      <x:c r="C263" s="14" t="str">
        <x:v>When did toronto host the mlb all-star game?</x:v>
      </x:c>
      <x:c r="D263" s="14" t="str">
        <x:v>atomic</x:v>
      </x:c>
      <x:c r="E263" s="14" t="str">
        <x:v>The 1991 Major League Baseball All-Star Game was held at SkyDome in Toronto on July 9, 1991.</x:v>
      </x:c>
      <x:c r="F263" s="14" t="str">
        <x:v>Toronto hosted the MLB All-Star Game on July 9, 1991</x:v>
      </x:c>
      <x:c r="G263" s="14" t="n">
        <x:v>1</x:v>
      </x:c>
      <x:c r="H263" s="14" t="n">
        <x:v>1</x:v>
      </x:c>
      <x:c r="I263" s="53" t="b">
        <x:v>1</x:v>
      </x:c>
      <x:c r="J263" s="14" t="str"/>
      <x:c r="K263" s="14" t="str"/>
    </x:row>
    <x:row r="264">
      <x:c r="A264" t="str">
        <x:v>a2_new_minus_old_on_old_a1</x:v>
      </x:c>
      <x:c r="B264" t="str">
        <x:f>"qid:732619765350082410"</x:f>
        <x:v>qid:732619765350082410</x:v>
      </x:c>
      <x:c r="C264" s="14" t="str">
        <x:v>When did toronto host the mlb all-star game?</x:v>
      </x:c>
      <x:c r="D264" s="14" t="str">
        <x:v>self_contained</x:v>
      </x:c>
      <x:c r="E264" s="14" t="str">
        <x:v>The 1991 Major League Baseball All-Star Game was held at SkyDome in Toronto on July 9, 1991.</x:v>
      </x:c>
      <x:c r="F264" s="14" t="str">
        <x:v>Toronto hosted the MLB All-Star Game on July 9, 1991</x:v>
      </x:c>
      <x:c r="G264" s="14" t="n">
        <x:v>1</x:v>
      </x:c>
      <x:c r="H264" s="14" t="n">
        <x:v>1</x:v>
      </x:c>
      <x:c r="I264" s="53" t="b">
        <x:v>1</x:v>
      </x:c>
      <x:c r="J264" s="14" t="str"/>
      <x:c r="K264" s="14" t="str"/>
    </x:row>
    <x:row r="265">
      <x:c r="A265" t="str">
        <x:v>a2_new_minus_old_on_old_a1</x:v>
      </x:c>
      <x:c r="B265" t="str">
        <x:f>"qid:732619765350082410"</x:f>
        <x:v>qid:732619765350082410</x:v>
      </x:c>
      <x:c r="C265" s="14" t="str">
        <x:v>When did toronto host the mlb all-star game?</x:v>
      </x:c>
      <x:c r="D265" s="14" t="str">
        <x:v>span_aligned</x:v>
      </x:c>
      <x:c r="E265" s="14" t="str">
        <x:v>The 1991 Major League Baseball All-Star Game was held at SkyDome in Toronto on July 9, 1991.</x:v>
      </x:c>
      <x:c r="F265" s="14" t="str">
        <x:v>Toronto hosted the MLB All-Star Game on July 9, 1991</x:v>
      </x:c>
      <x:c r="G265" s="14" t="n">
        <x:v>1</x:v>
      </x:c>
      <x:c r="H265" s="14" t="n">
        <x:v>1</x:v>
      </x:c>
      <x:c r="I265" s="53" t="b">
        <x:v>1</x:v>
      </x:c>
      <x:c r="J265" s="14" t="str"/>
      <x:c r="K265" s="14" t="str"/>
    </x:row>
    <x:row r="266">
      <x:c r="A266" t="str">
        <x:v>a2_new_minus_old_on_old_a1</x:v>
      </x:c>
      <x:c r="B266" t="str">
        <x:f>"qid:732619765350082410"</x:f>
        <x:v>qid:732619765350082410</x:v>
      </x:c>
      <x:c r="C266" s="14" t="str">
        <x:v>When did toronto host the mlb all-star game?</x:v>
      </x:c>
      <x:c r="D266" s="14" t="str">
        <x:v>rewrite_faithful</x:v>
      </x:c>
      <x:c r="E266" s="14" t="str">
        <x:v>The 1991 Major League Baseball All-Star Game was held at SkyDome in Toronto on July 9, 1991.</x:v>
      </x:c>
      <x:c r="F266" s="14" t="str">
        <x:v>Toronto hosted the MLB All-Star Game on July 9, 1991</x:v>
      </x:c>
      <x:c r="G266" s="14" t="n">
        <x:v>1</x:v>
      </x:c>
      <x:c r="H266" s="14" t="n">
        <x:v>1</x:v>
      </x:c>
      <x:c r="I266" s="53" t="b">
        <x:v>1</x:v>
      </x:c>
      <x:c r="J266" s="14" t="str"/>
      <x:c r="K266" s="14" t="str"/>
    </x:row>
    <x:row r="267">
      <x:c r="A267" t="str">
        <x:v>a2_new_minus_old_on_old_a1</x:v>
      </x:c>
      <x:c r="B267" t="str">
        <x:f>"qid:743600309736467122"</x:f>
        <x:v>qid:743600309736467122</x:v>
      </x:c>
      <x:c r="C267" s="14" t="str">
        <x:v>When was on the revolutions of the heavenly spheres published?</x:v>
      </x:c>
      <x:c r="D267" s="14" t="str">
        <x:v>atomic</x:v>
      </x:c>
      <x:c r="E267" s="14" t="str">
        <x:v>The title of the work is 'On the Revolutions of the Heavenly Spheres'.</x:v>
      </x:c>
      <x:c r="F267" s="14" t="str">
        <x:v>On the Revolutions of the Heavenly Spheres</x:v>
      </x:c>
      <x:c r="G267" s="14" t="n">
        <x:v>1</x:v>
      </x:c>
      <x:c r="H267" s="14" t="n">
        <x:v>1</x:v>
      </x:c>
      <x:c r="I267" s="53" t="b">
        <x:v>1</x:v>
      </x:c>
      <x:c r="J267" s="14" t="str">
        <x:v>span_misaligned;meaning_changed</x:v>
      </x:c>
      <x:c r="K267" s="14" t="str">
        <x:v>span_misaligned;meaning_changed</x:v>
      </x:c>
    </x:row>
    <x:row r="268">
      <x:c r="A268" t="str">
        <x:v>a2_new_minus_old_on_old_a1</x:v>
      </x:c>
      <x:c r="B268" t="str">
        <x:f>"qid:743600309736467122"</x:f>
        <x:v>qid:743600309736467122</x:v>
      </x:c>
      <x:c r="C268" s="14" t="str">
        <x:v>When was on the revolutions of the heavenly spheres published?</x:v>
      </x:c>
      <x:c r="D268" s="14" t="str">
        <x:v>self_contained</x:v>
      </x:c>
      <x:c r="E268" s="14" t="str">
        <x:v>The title of the work is 'On the Revolutions of the Heavenly Spheres'.</x:v>
      </x:c>
      <x:c r="F268" s="14" t="str">
        <x:v>On the Revolutions of the Heavenly Spheres</x:v>
      </x:c>
      <x:c r="G268" s="14" t="n">
        <x:v>1</x:v>
      </x:c>
      <x:c r="H268" s="14" t="n">
        <x:v>1</x:v>
      </x:c>
      <x:c r="I268" s="53" t="b">
        <x:v>1</x:v>
      </x:c>
      <x:c r="J268" s="14" t="str">
        <x:v>span_misaligned;meaning_changed</x:v>
      </x:c>
      <x:c r="K268" s="14" t="str">
        <x:v>span_misaligned;meaning_changed</x:v>
      </x:c>
    </x:row>
    <x:row r="269">
      <x:c r="A269" t="str">
        <x:v>a2_new_minus_old_on_old_a1</x:v>
      </x:c>
      <x:c r="B269" t="str">
        <x:f>"qid:743600309736467122"</x:f>
        <x:v>qid:743600309736467122</x:v>
      </x:c>
      <x:c r="C269" s="14" t="str">
        <x:v>When was on the revolutions of the heavenly spheres published?</x:v>
      </x:c>
      <x:c r="D269" s="14" t="str">
        <x:v>span_aligned</x:v>
      </x:c>
      <x:c r="E269" s="14" t="str">
        <x:v>The title of the work is 'On the Revolutions of the Heavenly Spheres'.</x:v>
      </x:c>
      <x:c r="F269" s="14" t="str">
        <x:v>On the Revolutions of the Heavenly Spheres</x:v>
      </x:c>
      <x:c r="G269" s="14" t="n">
        <x:v>0</x:v>
      </x:c>
      <x:c r="H269" s="14" t="n">
        <x:v>0</x:v>
      </x:c>
      <x:c r="I269" s="53" t="b">
        <x:v>1</x:v>
      </x:c>
      <x:c r="J269" s="14" t="str">
        <x:v>span_misaligned;meaning_changed</x:v>
      </x:c>
      <x:c r="K269" s="14" t="str">
        <x:v>span_misaligned;meaning_changed</x:v>
      </x:c>
    </x:row>
    <x:row r="270">
      <x:c r="A270" t="str">
        <x:v>a2_new_minus_old_on_old_a1</x:v>
      </x:c>
      <x:c r="B270" t="str">
        <x:f>"qid:743600309736467122"</x:f>
        <x:v>qid:743600309736467122</x:v>
      </x:c>
      <x:c r="C270" s="14" t="str">
        <x:v>When was on the revolutions of the heavenly spheres published?</x:v>
      </x:c>
      <x:c r="D270" s="14" t="str">
        <x:v>rewrite_faithful</x:v>
      </x:c>
      <x:c r="E270" s="14" t="str">
        <x:v>The title of the work is 'On the Revolutions of the Heavenly Spheres'.</x:v>
      </x:c>
      <x:c r="F270" s="14" t="str">
        <x:v>On the Revolutions of the Heavenly Spheres</x:v>
      </x:c>
      <x:c r="G270" s="14" t="n">
        <x:v>0</x:v>
      </x:c>
      <x:c r="H270" s="14" t="n">
        <x:v>0</x:v>
      </x:c>
      <x:c r="I270" s="53" t="b">
        <x:v>1</x:v>
      </x:c>
      <x:c r="J270" s="14" t="str">
        <x:v>span_misaligned;meaning_changed</x:v>
      </x:c>
      <x:c r="K270" s="14" t="str">
        <x:v>span_misaligned;meaning_changed</x:v>
      </x:c>
    </x:row>
    <x:row r="271">
      <x:c r="A271" t="str">
        <x:v>a2_new_minus_old_on_old_a1</x:v>
      </x:c>
      <x:c r="B271" t="str">
        <x:f>"qid:743600309736467122"</x:f>
        <x:v>qid:743600309736467122</x:v>
      </x:c>
      <x:c r="C271" s="14" t="str">
        <x:v>When was on the revolutions of the heavenly spheres published?</x:v>
      </x:c>
      <x:c r="D271" s="14" t="str">
        <x:v>atomic</x:v>
      </x:c>
      <x:c r="E271" s="14" t="str">
        <x:v>The work was published in the year 1543.</x:v>
      </x:c>
      <x:c r="F271" s="14" t="str">
        <x:v>published in 1543</x:v>
      </x:c>
      <x:c r="G271" s="14" t="n">
        <x:v>1</x:v>
      </x:c>
      <x:c r="H271" s="14" t="n">
        <x:v>1</x:v>
      </x:c>
      <x:c r="I271" s="53" t="b">
        <x:v>1</x:v>
      </x:c>
      <x:c r="J271" s="14" t="str">
        <x:v>unresolved_reference;span_misaligned;meaning_changed</x:v>
      </x:c>
      <x:c r="K271" s="14" t="str">
        <x:v>unresolved_reference;span_misaligned;meaning_changed</x:v>
      </x:c>
    </x:row>
    <x:row r="272">
      <x:c r="A272" t="str">
        <x:v>a2_new_minus_old_on_old_a1</x:v>
      </x:c>
      <x:c r="B272" t="str">
        <x:f>"qid:743600309736467122"</x:f>
        <x:v>qid:743600309736467122</x:v>
      </x:c>
      <x:c r="C272" s="14" t="str">
        <x:v>When was on the revolutions of the heavenly spheres published?</x:v>
      </x:c>
      <x:c r="D272" s="14" t="str">
        <x:v>self_contained</x:v>
      </x:c>
      <x:c r="E272" s="14" t="str">
        <x:v>The work was published in the year 1543.</x:v>
      </x:c>
      <x:c r="F272" s="14" t="str">
        <x:v>published in 1543</x:v>
      </x:c>
      <x:c r="G272" s="14" t="n">
        <x:v>0</x:v>
      </x:c>
      <x:c r="H272" s="14" t="n">
        <x:v>0</x:v>
      </x:c>
      <x:c r="I272" s="53" t="b">
        <x:v>1</x:v>
      </x:c>
      <x:c r="J272" s="14" t="str">
        <x:v>unresolved_reference;span_misaligned;meaning_changed</x:v>
      </x:c>
      <x:c r="K272" s="14" t="str">
        <x:v>unresolved_reference;span_misaligned;meaning_changed</x:v>
      </x:c>
    </x:row>
    <x:row r="273">
      <x:c r="A273" t="str">
        <x:v>a2_new_minus_old_on_old_a1</x:v>
      </x:c>
      <x:c r="B273" t="str">
        <x:f>"qid:743600309736467122"</x:f>
        <x:v>qid:743600309736467122</x:v>
      </x:c>
      <x:c r="C273" s="14" t="str">
        <x:v>When was on the revolutions of the heavenly spheres published?</x:v>
      </x:c>
      <x:c r="D273" s="14" t="str">
        <x:v>span_aligned</x:v>
      </x:c>
      <x:c r="E273" s="14" t="str">
        <x:v>The work was published in the year 1543.</x:v>
      </x:c>
      <x:c r="F273" s="14" t="str">
        <x:v>published in 1543</x:v>
      </x:c>
      <x:c r="G273" s="14" t="n">
        <x:v>0</x:v>
      </x:c>
      <x:c r="H273" s="14" t="n">
        <x:v>0</x:v>
      </x:c>
      <x:c r="I273" s="53" t="b">
        <x:v>1</x:v>
      </x:c>
      <x:c r="J273" s="14" t="str">
        <x:v>unresolved_reference;span_misaligned;meaning_changed</x:v>
      </x:c>
      <x:c r="K273" s="14" t="str">
        <x:v>unresolved_reference;span_misaligned;meaning_changed</x:v>
      </x:c>
    </x:row>
    <x:row r="274">
      <x:c r="A274" t="str">
        <x:v>a2_new_minus_old_on_old_a1</x:v>
      </x:c>
      <x:c r="B274" t="str">
        <x:f>"qid:743600309736467122"</x:f>
        <x:v>qid:743600309736467122</x:v>
      </x:c>
      <x:c r="C274" s="14" t="str">
        <x:v>When was on the revolutions of the heavenly spheres published?</x:v>
      </x:c>
      <x:c r="D274" s="14" t="str">
        <x:v>rewrite_faithful</x:v>
      </x:c>
      <x:c r="E274" s="14" t="str">
        <x:v>The work was published in the year 1543.</x:v>
      </x:c>
      <x:c r="F274" s="14" t="str">
        <x:v>published in 1543</x:v>
      </x:c>
      <x:c r="G274" s="14" t="n">
        <x:v>0</x:v>
      </x:c>
      <x:c r="H274" s="14" t="n">
        <x:v>0</x:v>
      </x:c>
      <x:c r="I274" s="53" t="b">
        <x:v>1</x:v>
      </x:c>
      <x:c r="J274" s="14" t="str">
        <x:v>unresolved_reference;span_misaligned;meaning_changed</x:v>
      </x:c>
      <x:c r="K274" s="14" t="str">
        <x:v>unresolved_reference;span_misaligned;meaning_changed</x:v>
      </x:c>
    </x:row>
    <x:row r="275">
      <x:c r="A275" t="str">
        <x:v>a2_new_minus_old_on_old_a1</x:v>
      </x:c>
      <x:c r="B275" t="str">
        <x:f>"qid:7797208395147217894"</x:f>
        <x:v>qid:7797208395147217894</x:v>
      </x:c>
      <x:c r="C275" s="14" t="str">
        <x:v>When did west germany win the world cup?</x:v>
      </x:c>
      <x:c r="D275" s="14" t="str">
        <x:v>atomic</x:v>
      </x:c>
      <x:c r="E275" s="14" t="str">
        <x:v>In the 1974 World Cup final, West Germany defeated the Netherlands with a score of 2–1.</x:v>
      </x:c>
      <x:c r="F275" s="14" t="str">
        <x:v>the 1974 win is noted as the team defeating the Netherlands 2–1 in the final</x:v>
      </x:c>
      <x:c r="G275" s="14" t="n">
        <x:v>1</x:v>
      </x:c>
      <x:c r="H275" s="14" t="n">
        <x:v>1</x:v>
      </x:c>
      <x:c r="I275" s="53" t="b">
        <x:v>1</x:v>
      </x:c>
      <x:c r="J275" s="14" t="str">
        <x:v>span_misaligned;meaning_changed</x:v>
      </x:c>
      <x:c r="K275" s="14" t="str">
        <x:v>span_misaligned;meaning_changed</x:v>
      </x:c>
    </x:row>
    <x:row r="276">
      <x:c r="A276" t="str">
        <x:v>a2_new_minus_old_on_old_a1</x:v>
      </x:c>
      <x:c r="B276" t="str">
        <x:f>"qid:7797208395147217894"</x:f>
        <x:v>qid:7797208395147217894</x:v>
      </x:c>
      <x:c r="C276" s="14" t="str">
        <x:v>When did west germany win the world cup?</x:v>
      </x:c>
      <x:c r="D276" s="14" t="str">
        <x:v>self_contained</x:v>
      </x:c>
      <x:c r="E276" s="14" t="str">
        <x:v>In the 1974 World Cup final, West Germany defeated the Netherlands with a score of 2–1.</x:v>
      </x:c>
      <x:c r="F276" s="14" t="str">
        <x:v>the 1974 win is noted as the team defeating the Netherlands 2–1 in the final</x:v>
      </x:c>
      <x:c r="G276" s="14" t="n">
        <x:v>1</x:v>
      </x:c>
      <x:c r="H276" s="14" t="n">
        <x:v>1</x:v>
      </x:c>
      <x:c r="I276" s="53" t="b">
        <x:v>1</x:v>
      </x:c>
      <x:c r="J276" s="14" t="str">
        <x:v>span_misaligned;meaning_changed</x:v>
      </x:c>
      <x:c r="K276" s="14" t="str">
        <x:v>span_misaligned;meaning_changed</x:v>
      </x:c>
    </x:row>
    <x:row r="277">
      <x:c r="A277" t="str">
        <x:v>a2_new_minus_old_on_old_a1</x:v>
      </x:c>
      <x:c r="B277" t="str">
        <x:f>"qid:7797208395147217894"</x:f>
        <x:v>qid:7797208395147217894</x:v>
      </x:c>
      <x:c r="C277" s="14" t="str">
        <x:v>When did west germany win the world cup?</x:v>
      </x:c>
      <x:c r="D277" s="14" t="str">
        <x:v>span_aligned</x:v>
      </x:c>
      <x:c r="E277" s="14" t="str">
        <x:v>In the 1974 World Cup final, West Germany defeated the Netherlands with a score of 2–1.</x:v>
      </x:c>
      <x:c r="F277" s="14" t="str">
        <x:v>the 1974 win is noted as the team defeating the Netherlands 2–1 in the final</x:v>
      </x:c>
      <x:c r="G277" s="14" t="n">
        <x:v>0</x:v>
      </x:c>
      <x:c r="H277" s="14" t="n">
        <x:v>0</x:v>
      </x:c>
      <x:c r="I277" s="53" t="b">
        <x:v>1</x:v>
      </x:c>
      <x:c r="J277" s="14" t="str">
        <x:v>span_misaligned;meaning_changed</x:v>
      </x:c>
      <x:c r="K277" s="14" t="str">
        <x:v>span_misaligned;meaning_changed</x:v>
      </x:c>
    </x:row>
    <x:row r="278">
      <x:c r="A278" t="str">
        <x:v>a2_new_minus_old_on_old_a1</x:v>
      </x:c>
      <x:c r="B278" t="str">
        <x:f>"qid:7797208395147217894"</x:f>
        <x:v>qid:7797208395147217894</x:v>
      </x:c>
      <x:c r="C278" s="14" t="str">
        <x:v>When did west germany win the world cup?</x:v>
      </x:c>
      <x:c r="D278" s="14" t="str">
        <x:v>rewrite_faithful</x:v>
      </x:c>
      <x:c r="E278" s="14" t="str">
        <x:v>In the 1974 World Cup final, West Germany defeated the Netherlands with a score of 2–1.</x:v>
      </x:c>
      <x:c r="F278" s="14" t="str">
        <x:v>the 1974 win is noted as the team defeating the Netherlands 2–1 in the final</x:v>
      </x:c>
      <x:c r="G278" s="14" t="n">
        <x:v>0</x:v>
      </x:c>
      <x:c r="H278" s="14" t="n">
        <x:v>0</x:v>
      </x:c>
      <x:c r="I278" s="53" t="b">
        <x:v>1</x:v>
      </x:c>
      <x:c r="J278" s="14" t="str">
        <x:v>span_misaligned;meaning_changed</x:v>
      </x:c>
      <x:c r="K278" s="14" t="str">
        <x:v>span_misaligned;meaning_changed</x:v>
      </x:c>
    </x:row>
    <x:row r="279">
      <x:c r="A279" t="str">
        <x:v>a2_new_minus_old_on_old_a1</x:v>
      </x:c>
      <x:c r="B279" t="str">
        <x:f>"qid:7797208395147217894"</x:f>
        <x:v>qid:7797208395147217894</x:v>
      </x:c>
      <x:c r="C279" s="14" t="str">
        <x:v>When did west germany win the world cup?</x:v>
      </x:c>
      <x:c r="D279" s="14" t="str">
        <x:v>atomic</x:v>
      </x:c>
      <x:c r="E279" s="14" t="str">
        <x:v>The 1954 World Cup victory is historically referred to as the "miracle of Bern".</x:v>
      </x:c>
      <x:c r="F279" s="14" t="str">
        <x:v>The 1954 victory is described as a "miracle of Bern"</x:v>
      </x:c>
      <x:c r="G279" s="14" t="n">
        <x:v>1</x:v>
      </x:c>
      <x:c r="H279" s="14" t="n">
        <x:v>1</x:v>
      </x:c>
      <x:c r="I279" s="53" t="b">
        <x:v>1</x:v>
      </x:c>
      <x:c r="J279" s="14" t="str">
        <x:v>span_misaligned;meaning_changed</x:v>
      </x:c>
      <x:c r="K279" s="14" t="str"/>
    </x:row>
    <x:row r="280">
      <x:c r="A280" t="str">
        <x:v>a2_new_minus_old_on_old_a1</x:v>
      </x:c>
      <x:c r="B280" t="str">
        <x:f>"qid:7797208395147217894"</x:f>
        <x:v>qid:7797208395147217894</x:v>
      </x:c>
      <x:c r="C280" s="14" t="str">
        <x:v>When did west germany win the world cup?</x:v>
      </x:c>
      <x:c r="D280" s="14" t="str">
        <x:v>self_contained</x:v>
      </x:c>
      <x:c r="E280" s="14" t="str">
        <x:v>The 1954 World Cup victory is historically referred to as the "miracle of Bern".</x:v>
      </x:c>
      <x:c r="F280" s="14" t="str">
        <x:v>The 1954 victory is described as a "miracle of Bern"</x:v>
      </x:c>
      <x:c r="G280" s="14" t="n">
        <x:v>1</x:v>
      </x:c>
      <x:c r="H280" s="14" t="n">
        <x:v>1</x:v>
      </x:c>
      <x:c r="I280" s="53" t="b">
        <x:v>1</x:v>
      </x:c>
      <x:c r="J280" s="14" t="str">
        <x:v>span_misaligned;meaning_changed</x:v>
      </x:c>
      <x:c r="K280" s="14" t="str"/>
    </x:row>
    <x:row r="281">
      <x:c r="A281" t="str">
        <x:v>a2_new_minus_old_on_old_a1</x:v>
      </x:c>
      <x:c r="B281" t="str">
        <x:f>"qid:7797208395147217894"</x:f>
        <x:v>qid:7797208395147217894</x:v>
      </x:c>
      <x:c r="C281" s="14" t="str">
        <x:v>When did west germany win the world cup?</x:v>
      </x:c>
      <x:c r="D281" s="14" t="str">
        <x:v>span_aligned</x:v>
      </x:c>
      <x:c r="E281" s="14" t="str">
        <x:v>The 1954 World Cup victory is historically referred to as the "miracle of Bern".</x:v>
      </x:c>
      <x:c r="F281" s="14" t="str">
        <x:v>The 1954 victory is described as a "miracle of Bern"</x:v>
      </x:c>
      <x:c r="G281" s="14" t="n">
        <x:v>0</x:v>
      </x:c>
      <x:c r="H281" s="14" t="n">
        <x:v>1</x:v>
      </x:c>
      <x:c r="I281" s="53" t="b">
        <x:v>0</x:v>
      </x:c>
      <x:c r="J281" s="14" t="str">
        <x:v>span_misaligned;meaning_changed</x:v>
      </x:c>
      <x:c r="K281" s="14" t="str"/>
    </x:row>
    <x:row r="282">
      <x:c r="A282" t="str">
        <x:v>a2_new_minus_old_on_old_a1</x:v>
      </x:c>
      <x:c r="B282" t="str">
        <x:f>"qid:7797208395147217894"</x:f>
        <x:v>qid:7797208395147217894</x:v>
      </x:c>
      <x:c r="C282" s="14" t="str">
        <x:v>When did west germany win the world cup?</x:v>
      </x:c>
      <x:c r="D282" s="14" t="str">
        <x:v>rewrite_faithful</x:v>
      </x:c>
      <x:c r="E282" s="14" t="str">
        <x:v>The 1954 World Cup victory is historically referred to as the "miracle of Bern".</x:v>
      </x:c>
      <x:c r="F282" s="14" t="str">
        <x:v>The 1954 victory is described as a "miracle of Bern"</x:v>
      </x:c>
      <x:c r="G282" s="14" t="n">
        <x:v>0</x:v>
      </x:c>
      <x:c r="H282" s="14" t="n">
        <x:v>1</x:v>
      </x:c>
      <x:c r="I282" s="53" t="b">
        <x:v>0</x:v>
      </x:c>
      <x:c r="J282" s="14" t="str">
        <x:v>span_misaligned;meaning_changed</x:v>
      </x:c>
      <x:c r="K282" s="14" t="str"/>
    </x:row>
    <x:row r="283">
      <x:c r="A283" t="str">
        <x:v>a2_new_minus_old_on_old_a1</x:v>
      </x:c>
      <x:c r="B283" t="str">
        <x:f>"qid:7797208395147217894"</x:f>
        <x:v>qid:7797208395147217894</x:v>
      </x:c>
      <x:c r="C283" s="14" t="str">
        <x:v>When did west germany win the world cup?</x:v>
      </x:c>
      <x:c r="D283" s="14" t="str">
        <x:v>atomic</x:v>
      </x:c>
      <x:c r="E283" s="14" t="str">
        <x:v>West Germany achieved the World Cup title in 1954.</x:v>
      </x:c>
      <x:c r="F283" s="14" t="str">
        <x:v>West Germany won the World Cup in 1954</x:v>
      </x:c>
      <x:c r="G283" s="14" t="n">
        <x:v>1</x:v>
      </x:c>
      <x:c r="H283" s="14" t="n">
        <x:v>1</x:v>
      </x:c>
      <x:c r="I283" s="53" t="b">
        <x:v>1</x:v>
      </x:c>
      <x:c r="J283" s="14" t="str"/>
      <x:c r="K283" s="14" t="str"/>
    </x:row>
    <x:row r="284">
      <x:c r="A284" t="str">
        <x:v>a2_new_minus_old_on_old_a1</x:v>
      </x:c>
      <x:c r="B284" t="str">
        <x:f>"qid:7797208395147217894"</x:f>
        <x:v>qid:7797208395147217894</x:v>
      </x:c>
      <x:c r="C284" s="14" t="str">
        <x:v>When did west germany win the world cup?</x:v>
      </x:c>
      <x:c r="D284" s="14" t="str">
        <x:v>self_contained</x:v>
      </x:c>
      <x:c r="E284" s="14" t="str">
        <x:v>West Germany achieved the World Cup title in 1954.</x:v>
      </x:c>
      <x:c r="F284" s="14" t="str">
        <x:v>West Germany won the World Cup in 1954</x:v>
      </x:c>
      <x:c r="G284" s="14" t="n">
        <x:v>1</x:v>
      </x:c>
      <x:c r="H284" s="14" t="n">
        <x:v>1</x:v>
      </x:c>
      <x:c r="I284" s="53" t="b">
        <x:v>1</x:v>
      </x:c>
      <x:c r="J284" s="14" t="str"/>
      <x:c r="K284" s="14" t="str"/>
    </x:row>
    <x:row r="285">
      <x:c r="A285" t="str">
        <x:v>a2_new_minus_old_on_old_a1</x:v>
      </x:c>
      <x:c r="B285" t="str">
        <x:f>"qid:7797208395147217894"</x:f>
        <x:v>qid:7797208395147217894</x:v>
      </x:c>
      <x:c r="C285" s="14" t="str">
        <x:v>When did west germany win the world cup?</x:v>
      </x:c>
      <x:c r="D285" s="14" t="str">
        <x:v>span_aligned</x:v>
      </x:c>
      <x:c r="E285" s="14" t="str">
        <x:v>West Germany achieved the World Cup title in 1954.</x:v>
      </x:c>
      <x:c r="F285" s="14" t="str">
        <x:v>West Germany won the World Cup in 1954</x:v>
      </x:c>
      <x:c r="G285" s="14" t="n">
        <x:v>1</x:v>
      </x:c>
      <x:c r="H285" s="14" t="n">
        <x:v>1</x:v>
      </x:c>
      <x:c r="I285" s="53" t="b">
        <x:v>1</x:v>
      </x:c>
      <x:c r="J285" s="14" t="str"/>
      <x:c r="K285" s="14" t="str"/>
    </x:row>
    <x:row r="286">
      <x:c r="A286" t="str">
        <x:v>a2_new_minus_old_on_old_a1</x:v>
      </x:c>
      <x:c r="B286" t="str">
        <x:f>"qid:7797208395147217894"</x:f>
        <x:v>qid:7797208395147217894</x:v>
      </x:c>
      <x:c r="C286" s="14" t="str">
        <x:v>When did west germany win the world cup?</x:v>
      </x:c>
      <x:c r="D286" s="14" t="str">
        <x:v>rewrite_faithful</x:v>
      </x:c>
      <x:c r="E286" s="14" t="str">
        <x:v>West Germany achieved the World Cup title in 1954.</x:v>
      </x:c>
      <x:c r="F286" s="14" t="str">
        <x:v>West Germany won the World Cup in 1954</x:v>
      </x:c>
      <x:c r="G286" s="14" t="n">
        <x:v>1</x:v>
      </x:c>
      <x:c r="H286" s="14" t="n">
        <x:v>1</x:v>
      </x:c>
      <x:c r="I286" s="53" t="b">
        <x:v>1</x:v>
      </x:c>
      <x:c r="J286" s="14" t="str"/>
      <x:c r="K286" s="14" t="str"/>
    </x:row>
    <x:row r="287">
      <x:c r="A287" t="str">
        <x:v>a2_new_minus_old_on_old_a1</x:v>
      </x:c>
      <x:c r="B287" t="str">
        <x:f>"qid:7797208395147217894"</x:f>
        <x:v>qid:7797208395147217894</x:v>
      </x:c>
      <x:c r="C287" s="14" t="str">
        <x:v>When did west germany win the world cup?</x:v>
      </x:c>
      <x:c r="D287" s="14" t="str">
        <x:v>atomic</x:v>
      </x:c>
      <x:c r="E287" s="14" t="str">
        <x:v>West Germany achieved the World Cup title in 1974.</x:v>
      </x:c>
      <x:c r="F287" s="14" t="str">
        <x:v>West Germany won the World Cup in 1954 and again in 1974 [1][2].</x:v>
      </x:c>
      <x:c r="G287" s="14" t="n">
        <x:v>1</x:v>
      </x:c>
      <x:c r="H287" s="14" t="n">
        <x:v>1</x:v>
      </x:c>
      <x:c r="I287" s="53" t="b">
        <x:v>1</x:v>
      </x:c>
      <x:c r="J287" s="14" t="str"/>
      <x:c r="K287" s="14" t="str"/>
    </x:row>
    <x:row r="288">
      <x:c r="A288" t="str">
        <x:v>a2_new_minus_old_on_old_a1</x:v>
      </x:c>
      <x:c r="B288" t="str">
        <x:f>"qid:7797208395147217894"</x:f>
        <x:v>qid:7797208395147217894</x:v>
      </x:c>
      <x:c r="C288" s="14" t="str">
        <x:v>When did west germany win the world cup?</x:v>
      </x:c>
      <x:c r="D288" s="14" t="str">
        <x:v>self_contained</x:v>
      </x:c>
      <x:c r="E288" s="14" t="str">
        <x:v>West Germany achieved the World Cup title in 1974.</x:v>
      </x:c>
      <x:c r="F288" s="14" t="str">
        <x:v>West Germany won the World Cup in 1954 and again in 1974 [1][2].</x:v>
      </x:c>
      <x:c r="G288" s="14" t="n">
        <x:v>1</x:v>
      </x:c>
      <x:c r="H288" s="14" t="n">
        <x:v>1</x:v>
      </x:c>
      <x:c r="I288" s="53" t="b">
        <x:v>1</x:v>
      </x:c>
      <x:c r="J288" s="14" t="str"/>
      <x:c r="K288" s="14" t="str"/>
    </x:row>
    <x:row r="289">
      <x:c r="A289" t="str">
        <x:v>a2_new_minus_old_on_old_a1</x:v>
      </x:c>
      <x:c r="B289" t="str">
        <x:f>"qid:7797208395147217894"</x:f>
        <x:v>qid:7797208395147217894</x:v>
      </x:c>
      <x:c r="C289" s="14" t="str">
        <x:v>When did west germany win the world cup?</x:v>
      </x:c>
      <x:c r="D289" s="14" t="str">
        <x:v>span_aligned</x:v>
      </x:c>
      <x:c r="E289" s="14" t="str">
        <x:v>West Germany achieved the World Cup title in 1974.</x:v>
      </x:c>
      <x:c r="F289" s="14" t="str">
        <x:v>West Germany won the World Cup in 1954 and again in 1974 [1][2].</x:v>
      </x:c>
      <x:c r="G289" s="14" t="n">
        <x:v>1</x:v>
      </x:c>
      <x:c r="H289" s="14" t="n">
        <x:v>1</x:v>
      </x:c>
      <x:c r="I289" s="53" t="b">
        <x:v>1</x:v>
      </x:c>
      <x:c r="J289" s="14" t="str"/>
      <x:c r="K289" s="14" t="str"/>
    </x:row>
    <x:row r="290">
      <x:c r="A290" t="str">
        <x:v>a2_new_minus_old_on_old_a1</x:v>
      </x:c>
      <x:c r="B290" t="str">
        <x:f>"qid:7797208395147217894"</x:f>
        <x:v>qid:7797208395147217894</x:v>
      </x:c>
      <x:c r="C290" s="14" t="str">
        <x:v>When did west germany win the world cup?</x:v>
      </x:c>
      <x:c r="D290" s="14" t="str">
        <x:v>rewrite_faithful</x:v>
      </x:c>
      <x:c r="E290" s="14" t="str">
        <x:v>West Germany achieved the World Cup title in 1974.</x:v>
      </x:c>
      <x:c r="F290" s="14" t="str">
        <x:v>West Germany won the World Cup in 1954 and again in 1974 [1][2].</x:v>
      </x:c>
      <x:c r="G290" s="14" t="n">
        <x:v>1</x:v>
      </x:c>
      <x:c r="H290" s="14" t="n">
        <x:v>1</x:v>
      </x:c>
      <x:c r="I290" s="53" t="b">
        <x:v>1</x:v>
      </x:c>
      <x:c r="J290" s="14" t="str"/>
      <x:c r="K290" s="14" t="str"/>
    </x:row>
    <x:row r="291">
      <x:c r="A291" t="str">
        <x:v>a2_new_minus_old_on_old_a1</x:v>
      </x:c>
      <x:c r="B291" t="str">
        <x:f>"qid:8433533625736230886"</x:f>
        <x:v>qid:8433533625736230886</x:v>
      </x:c>
      <x:c r="C291" s="14" t="str">
        <x:v>Who has won the most trophies man utd or liverpool?</x:v>
      </x:c>
      <x:c r="D291" s="14" t="str">
        <x:v>atomic</x:v>
      </x:c>
      <x:c r="E291" s="14" t="str">
        <x:v>Manchester United has won more trophies than any other football club.</x:v>
      </x:c>
      <x:c r="F291" s="14" t="str">
        <x:v>Manchester United has won the most trophies</x:v>
      </x:c>
      <x:c r="G291" s="14" t="n">
        <x:v>1</x:v>
      </x:c>
      <x:c r="H291" s="14" t="n">
        <x:v>1</x:v>
      </x:c>
      <x:c r="I291" s="53" t="b">
        <x:v>1</x:v>
      </x:c>
      <x:c r="J291" s="14" t="str"/>
      <x:c r="K291" s="14" t="str"/>
    </x:row>
    <x:row r="292">
      <x:c r="A292" t="str">
        <x:v>a2_new_minus_old_on_old_a1</x:v>
      </x:c>
      <x:c r="B292" t="str">
        <x:f>"qid:8433533625736230886"</x:f>
        <x:v>qid:8433533625736230886</x:v>
      </x:c>
      <x:c r="C292" s="14" t="str">
        <x:v>Who has won the most trophies man utd or liverpool?</x:v>
      </x:c>
      <x:c r="D292" s="14" t="str">
        <x:v>self_contained</x:v>
      </x:c>
      <x:c r="E292" s="14" t="str">
        <x:v>Manchester United has won more trophies than any other football club.</x:v>
      </x:c>
      <x:c r="F292" s="14" t="str">
        <x:v>Manchester United has won the most trophies</x:v>
      </x:c>
      <x:c r="G292" s="14" t="n">
        <x:v>1</x:v>
      </x:c>
      <x:c r="H292" s="14" t="n">
        <x:v>1</x:v>
      </x:c>
      <x:c r="I292" s="53" t="b">
        <x:v>1</x:v>
      </x:c>
      <x:c r="J292" s="14" t="str"/>
      <x:c r="K292" s="14" t="str"/>
    </x:row>
    <x:row r="293">
      <x:c r="A293" t="str">
        <x:v>a2_new_minus_old_on_old_a1</x:v>
      </x:c>
      <x:c r="B293" t="str">
        <x:f>"qid:8433533625736230886"</x:f>
        <x:v>qid:8433533625736230886</x:v>
      </x:c>
      <x:c r="C293" s="14" t="str">
        <x:v>Who has won the most trophies man utd or liverpool?</x:v>
      </x:c>
      <x:c r="D293" s="14" t="str">
        <x:v>span_aligned</x:v>
      </x:c>
      <x:c r="E293" s="14" t="str">
        <x:v>Manchester United has won more trophies than any other football club.</x:v>
      </x:c>
      <x:c r="F293" s="14" t="str">
        <x:v>Manchester United has won the most trophies</x:v>
      </x:c>
      <x:c r="G293" s="14" t="n">
        <x:v>1</x:v>
      </x:c>
      <x:c r="H293" s="14" t="n">
        <x:v>1</x:v>
      </x:c>
      <x:c r="I293" s="53" t="b">
        <x:v>1</x:v>
      </x:c>
      <x:c r="J293" s="14" t="str"/>
      <x:c r="K293" s="14" t="str"/>
    </x:row>
    <x:row r="294">
      <x:c r="A294" t="str">
        <x:v>a2_new_minus_old_on_old_a1</x:v>
      </x:c>
      <x:c r="B294" t="str">
        <x:f>"qid:8433533625736230886"</x:f>
        <x:v>qid:8433533625736230886</x:v>
      </x:c>
      <x:c r="C294" s="14" t="str">
        <x:v>Who has won the most trophies man utd or liverpool?</x:v>
      </x:c>
      <x:c r="D294" s="14" t="str">
        <x:v>rewrite_faithful</x:v>
      </x:c>
      <x:c r="E294" s="14" t="str">
        <x:v>Manchester United has won more trophies than any other football club.</x:v>
      </x:c>
      <x:c r="F294" s="14" t="str">
        <x:v>Manchester United has won the most trophies</x:v>
      </x:c>
      <x:c r="G294" s="14" t="n">
        <x:v>1</x:v>
      </x:c>
      <x:c r="H294" s="14" t="n">
        <x:v>1</x:v>
      </x:c>
      <x:c r="I294" s="53" t="b">
        <x:v>1</x:v>
      </x:c>
      <x:c r="J294" s="14" t="str"/>
      <x:c r="K294" s="14" t="str"/>
    </x:row>
    <x:row r="295">
      <x:c r="A295" t="str">
        <x:v>a2_new_minus_old_on_old_a1</x:v>
      </x:c>
      <x:c r="B295" t="str">
        <x:f>"qid:8686216144939155905"</x:f>
        <x:v>qid:8686216144939155905</x:v>
      </x:c>
      <x:c r="C295" s="14" t="str">
        <x:v>What is the name of the time zone for london?</x:v>
      </x:c>
      <x:c r="D295" s="14" t="str">
        <x:v>atomic</x:v>
      </x:c>
      <x:c r="E295" s="14" t="str">
        <x:v>The IANA time zone identifier for London is Europe/London.</x:v>
      </x:c>
      <x:c r="F295" s="14" t="str">
        <x:v>The name of the time zone for London is Europe/London</x:v>
      </x:c>
      <x:c r="G295" s="14" t="n">
        <x:v>1</x:v>
      </x:c>
      <x:c r="H295" s="14" t="n">
        <x:v>1</x:v>
      </x:c>
      <x:c r="I295" s="53" t="b">
        <x:v>1</x:v>
      </x:c>
      <x:c r="J295" s="14" t="str"/>
      <x:c r="K295" s="14" t="str"/>
    </x:row>
    <x:row r="296">
      <x:c r="A296" t="str">
        <x:v>a2_new_minus_old_on_old_a1</x:v>
      </x:c>
      <x:c r="B296" t="str">
        <x:f>"qid:8686216144939155905"</x:f>
        <x:v>qid:8686216144939155905</x:v>
      </x:c>
      <x:c r="C296" s="14" t="str">
        <x:v>What is the name of the time zone for london?</x:v>
      </x:c>
      <x:c r="D296" s="14" t="str">
        <x:v>self_contained</x:v>
      </x:c>
      <x:c r="E296" s="14" t="str">
        <x:v>The IANA time zone identifier for London is Europe/London.</x:v>
      </x:c>
      <x:c r="F296" s="14" t="str">
        <x:v>The name of the time zone for London is Europe/London</x:v>
      </x:c>
      <x:c r="G296" s="14" t="n">
        <x:v>1</x:v>
      </x:c>
      <x:c r="H296" s="14" t="n">
        <x:v>1</x:v>
      </x:c>
      <x:c r="I296" s="53" t="b">
        <x:v>1</x:v>
      </x:c>
      <x:c r="J296" s="14" t="str"/>
      <x:c r="K296" s="14" t="str"/>
    </x:row>
    <x:row r="297">
      <x:c r="A297" t="str">
        <x:v>a2_new_minus_old_on_old_a1</x:v>
      </x:c>
      <x:c r="B297" t="str">
        <x:f>"qid:8686216144939155905"</x:f>
        <x:v>qid:8686216144939155905</x:v>
      </x:c>
      <x:c r="C297" s="14" t="str">
        <x:v>What is the name of the time zone for london?</x:v>
      </x:c>
      <x:c r="D297" s="14" t="str">
        <x:v>span_aligned</x:v>
      </x:c>
      <x:c r="E297" s="14" t="str">
        <x:v>The IANA time zone identifier for London is Europe/London.</x:v>
      </x:c>
      <x:c r="F297" s="14" t="str">
        <x:v>The name of the time zone for London is Europe/London</x:v>
      </x:c>
      <x:c r="G297" s="14" t="n">
        <x:v>1</x:v>
      </x:c>
      <x:c r="H297" s="14" t="n">
        <x:v>1</x:v>
      </x:c>
      <x:c r="I297" s="53" t="b">
        <x:v>1</x:v>
      </x:c>
      <x:c r="J297" s="14" t="str"/>
      <x:c r="K297" s="14" t="str"/>
    </x:row>
    <x:row r="298">
      <x:c r="A298" t="str">
        <x:v>a2_new_minus_old_on_old_a1</x:v>
      </x:c>
      <x:c r="B298" t="str">
        <x:f>"qid:8686216144939155905"</x:f>
        <x:v>qid:8686216144939155905</x:v>
      </x:c>
      <x:c r="C298" s="14" t="str">
        <x:v>What is the name of the time zone for london?</x:v>
      </x:c>
      <x:c r="D298" s="14" t="str">
        <x:v>rewrite_faithful</x:v>
      </x:c>
      <x:c r="E298" s="14" t="str">
        <x:v>The IANA time zone identifier for London is Europe/London.</x:v>
      </x:c>
      <x:c r="F298" s="14" t="str">
        <x:v>The name of the time zone for London is Europe/London</x:v>
      </x:c>
      <x:c r="G298" s="14" t="n">
        <x:v>1</x:v>
      </x:c>
      <x:c r="H298" s="14" t="n">
        <x:v>1</x:v>
      </x:c>
      <x:c r="I298" s="53" t="b">
        <x:v>1</x:v>
      </x:c>
      <x:c r="J298" s="14" t="str"/>
      <x:c r="K298" s="14" t="str"/>
    </x:row>
    <x:row r="299">
      <x:c r="A299" t="str">
        <x:v>a2_new_minus_old_on_old_a1</x:v>
      </x:c>
      <x:c r="B299" t="str">
        <x:f>"qid:87005427005915954"</x:f>
        <x:v>qid:87005427005915954</x:v>
      </x:c>
      <x:c r="C299" s="14" t="str">
        <x:v>When was the last time galway won the hurling all ireland?</x:v>
      </x:c>
      <x:c r="D299" s="14" t="str">
        <x:v>atomic</x:v>
      </x:c>
      <x:c r="E299" s="14" t="str">
        <x:v>Galway achieved its most recent Hurling All Ireland victory in 1987.</x:v>
      </x:c>
      <x:c r="F299" s="14" t="str">
        <x:v>The last time Galway won the Hurling All Ireland was in 1987</x:v>
      </x:c>
      <x:c r="G299" s="14" t="n">
        <x:v>1</x:v>
      </x:c>
      <x:c r="H299" s="14" t="n">
        <x:v>1</x:v>
      </x:c>
      <x:c r="I299" s="53" t="b">
        <x:v>1</x:v>
      </x:c>
      <x:c r="J299" s="14" t="str"/>
      <x:c r="K299" s="14" t="str"/>
    </x:row>
    <x:row r="300">
      <x:c r="A300" t="str">
        <x:v>a2_new_minus_old_on_old_a1</x:v>
      </x:c>
      <x:c r="B300" t="str">
        <x:f>"qid:87005427005915954"</x:f>
        <x:v>qid:87005427005915954</x:v>
      </x:c>
      <x:c r="C300" s="14" t="str">
        <x:v>When was the last time galway won the hurling all ireland?</x:v>
      </x:c>
      <x:c r="D300" s="14" t="str">
        <x:v>self_contained</x:v>
      </x:c>
      <x:c r="E300" s="14" t="str">
        <x:v>Galway achieved its most recent Hurling All Ireland victory in 1987.</x:v>
      </x:c>
      <x:c r="F300" s="14" t="str">
        <x:v>The last time Galway won the Hurling All Ireland was in 1987</x:v>
      </x:c>
      <x:c r="G300" s="14" t="n">
        <x:v>1</x:v>
      </x:c>
      <x:c r="H300" s="14" t="n">
        <x:v>1</x:v>
      </x:c>
      <x:c r="I300" s="53" t="b">
        <x:v>1</x:v>
      </x:c>
      <x:c r="J300" s="14" t="str"/>
      <x:c r="K300" s="14" t="str"/>
    </x:row>
    <x:row r="301">
      <x:c r="A301" t="str">
        <x:v>a2_new_minus_old_on_old_a1</x:v>
      </x:c>
      <x:c r="B301" t="str">
        <x:f>"qid:87005427005915954"</x:f>
        <x:v>qid:87005427005915954</x:v>
      </x:c>
      <x:c r="C301" s="14" t="str">
        <x:v>When was the last time galway won the hurling all ireland?</x:v>
      </x:c>
      <x:c r="D301" s="14" t="str">
        <x:v>span_aligned</x:v>
      </x:c>
      <x:c r="E301" s="14" t="str">
        <x:v>Galway achieved its most recent Hurling All Ireland victory in 1987.</x:v>
      </x:c>
      <x:c r="F301" s="14" t="str">
        <x:v>The last time Galway won the Hurling All Ireland was in 1987</x:v>
      </x:c>
      <x:c r="G301" s="14" t="n">
        <x:v>1</x:v>
      </x:c>
      <x:c r="H301" s="14" t="n">
        <x:v>1</x:v>
      </x:c>
      <x:c r="I301" s="53" t="b">
        <x:v>1</x:v>
      </x:c>
      <x:c r="J301" s="14" t="str"/>
      <x:c r="K301" s="14" t="str"/>
    </x:row>
    <x:row r="302">
      <x:c r="A302" t="str">
        <x:v>a2_new_minus_old_on_old_a1</x:v>
      </x:c>
      <x:c r="B302" t="str">
        <x:f>"qid:87005427005915954"</x:f>
        <x:v>qid:87005427005915954</x:v>
      </x:c>
      <x:c r="C302" s="14" t="str">
        <x:v>When was the last time galway won the hurling all ireland?</x:v>
      </x:c>
      <x:c r="D302" s="14" t="str">
        <x:v>rewrite_faithful</x:v>
      </x:c>
      <x:c r="E302" s="14" t="str">
        <x:v>Galway achieved its most recent Hurling All Ireland victory in 1987.</x:v>
      </x:c>
      <x:c r="F302" s="14" t="str">
        <x:v>The last time Galway won the Hurling All Ireland was in 1987</x:v>
      </x:c>
      <x:c r="G302" s="14" t="n">
        <x:v>1</x:v>
      </x:c>
      <x:c r="H302" s="14" t="n">
        <x:v>1</x:v>
      </x:c>
      <x:c r="I302" s="53" t="b">
        <x:v>1</x:v>
      </x:c>
      <x:c r="J302" s="14" t="str"/>
      <x:c r="K302" s="14" t="str"/>
    </x:row>
    <x:row r="303">
      <x:c r="A303" t="str">
        <x:v>a2_new_minus_old_on_new_a1</x:v>
      </x:c>
      <x:c r="B303" t="str">
        <x:f>"qid:-1062522255440685408"</x:f>
        <x:v>qid:-1062522255440685408</x:v>
      </x:c>
      <x:c r="C303" s="14" t="str">
        <x:v>When did the first generation kindle fire come out?</x:v>
      </x:c>
      <x:c r="D303" s="14" t="str">
        <x:v>atomic</x:v>
      </x:c>
      <x:c r="E303" s="14" t="str">
        <x:v>The first generation Kindle Fire was launched in November 2011.</x:v>
      </x:c>
      <x:c r="F303" s="14" t="str">
        <x:v>The first generation Kindle Fire was first released in November 2011</x:v>
      </x:c>
      <x:c r="G303" s="14" t="n">
        <x:v>1</x:v>
      </x:c>
      <x:c r="H303" s="14" t="n">
        <x:v>1</x:v>
      </x:c>
      <x:c r="I303" s="53" t="b">
        <x:v>1</x:v>
      </x:c>
      <x:c r="J303" s="14" t="str"/>
      <x:c r="K303" s="14" t="str"/>
    </x:row>
    <x:row r="304">
      <x:c r="A304" t="str">
        <x:v>a2_new_minus_old_on_new_a1</x:v>
      </x:c>
      <x:c r="B304" t="str">
        <x:f>"qid:-1062522255440685408"</x:f>
        <x:v>qid:-1062522255440685408</x:v>
      </x:c>
      <x:c r="C304" s="14" t="str">
        <x:v>When did the first generation kindle fire come out?</x:v>
      </x:c>
      <x:c r="D304" s="14" t="str">
        <x:v>self_contained</x:v>
      </x:c>
      <x:c r="E304" s="14" t="str">
        <x:v>The first generation Kindle Fire was launched in November 2011.</x:v>
      </x:c>
      <x:c r="F304" s="14" t="str">
        <x:v>The first generation Kindle Fire was first released in November 2011</x:v>
      </x:c>
      <x:c r="G304" s="14" t="n">
        <x:v>1</x:v>
      </x:c>
      <x:c r="H304" s="14" t="n">
        <x:v>1</x:v>
      </x:c>
      <x:c r="I304" s="53" t="b">
        <x:v>1</x:v>
      </x:c>
      <x:c r="J304" s="14" t="str"/>
      <x:c r="K304" s="14" t="str"/>
    </x:row>
    <x:row r="305">
      <x:c r="A305" t="str">
        <x:v>a2_new_minus_old_on_new_a1</x:v>
      </x:c>
      <x:c r="B305" t="str">
        <x:f>"qid:-1062522255440685408"</x:f>
        <x:v>qid:-1062522255440685408</x:v>
      </x:c>
      <x:c r="C305" s="14" t="str">
        <x:v>When did the first generation kindle fire come out?</x:v>
      </x:c>
      <x:c r="D305" s="14" t="str">
        <x:v>span_aligned</x:v>
      </x:c>
      <x:c r="E305" s="14" t="str">
        <x:v>The first generation Kindle Fire was launched in November 2011.</x:v>
      </x:c>
      <x:c r="F305" s="14" t="str">
        <x:v>The first generation Kindle Fire was first released in November 2011</x:v>
      </x:c>
      <x:c r="G305" s="14" t="n">
        <x:v>1</x:v>
      </x:c>
      <x:c r="H305" s="14" t="n">
        <x:v>1</x:v>
      </x:c>
      <x:c r="I305" s="53" t="b">
        <x:v>1</x:v>
      </x:c>
      <x:c r="J305" s="14" t="str"/>
      <x:c r="K305" s="14" t="str"/>
    </x:row>
    <x:row r="306">
      <x:c r="A306" t="str">
        <x:v>a2_new_minus_old_on_new_a1</x:v>
      </x:c>
      <x:c r="B306" t="str">
        <x:f>"qid:-1062522255440685408"</x:f>
        <x:v>qid:-1062522255440685408</x:v>
      </x:c>
      <x:c r="C306" s="14" t="str">
        <x:v>When did the first generation kindle fire come out?</x:v>
      </x:c>
      <x:c r="D306" s="14" t="str">
        <x:v>rewrite_faithful</x:v>
      </x:c>
      <x:c r="E306" s="14" t="str">
        <x:v>The first generation Kindle Fire was launched in November 2011.</x:v>
      </x:c>
      <x:c r="F306" s="14" t="str">
        <x:v>The first generation Kindle Fire was first released in November 2011</x:v>
      </x:c>
      <x:c r="G306" s="14" t="n">
        <x:v>1</x:v>
      </x:c>
      <x:c r="H306" s="14" t="n">
        <x:v>1</x:v>
      </x:c>
      <x:c r="I306" s="53" t="b">
        <x:v>1</x:v>
      </x:c>
      <x:c r="J306" s="14" t="str"/>
      <x:c r="K306" s="14" t="str"/>
    </x:row>
    <x:row r="307">
      <x:c r="A307" t="str">
        <x:v>a2_new_minus_old_on_new_a1</x:v>
      </x:c>
      <x:c r="B307" t="str">
        <x:f>"qid:-1859261645300630518"</x:f>
        <x:v>qid:-1859261645300630518</x:v>
      </x:c>
      <x:c r="C307" s="14" t="str">
        <x:v>When does steve come back in shameless season 5?</x:v>
      </x:c>
      <x:c r="D307" s="14" t="str">
        <x:v>atomic</x:v>
      </x:c>
      <x:c r="E307" s="14" t="str">
        <x:v>Steve Howey appears in Shameless season 5, episode 1 named "The Big Sick".</x:v>
      </x:c>
      <x:c r="F307" s="14" t="str">
        <x:v>Steve Howey returns in Shameless season 5 in episode 1 titled "The Big Sick", which premiered on January 11, 2015</x:v>
      </x:c>
      <x:c r="G307" s="14" t="n">
        <x:v>1</x:v>
      </x:c>
      <x:c r="H307" s="14" t="n">
        <x:v>1</x:v>
      </x:c>
      <x:c r="I307" s="53" t="b">
        <x:v>1</x:v>
      </x:c>
      <x:c r="J307" s="14" t="str"/>
      <x:c r="K307" s="14" t="str"/>
    </x:row>
    <x:row r="308">
      <x:c r="A308" t="str">
        <x:v>a2_new_minus_old_on_new_a1</x:v>
      </x:c>
      <x:c r="B308" t="str">
        <x:f>"qid:-1859261645300630518"</x:f>
        <x:v>qid:-1859261645300630518</x:v>
      </x:c>
      <x:c r="C308" s="14" t="str">
        <x:v>When does steve come back in shameless season 5?</x:v>
      </x:c>
      <x:c r="D308" s="14" t="str">
        <x:v>self_contained</x:v>
      </x:c>
      <x:c r="E308" s="14" t="str">
        <x:v>Steve Howey appears in Shameless season 5, episode 1 named "The Big Sick".</x:v>
      </x:c>
      <x:c r="F308" s="14" t="str">
        <x:v>Steve Howey returns in Shameless season 5 in episode 1 titled "The Big Sick", which premiered on January 11, 2015</x:v>
      </x:c>
      <x:c r="G308" s="14" t="n">
        <x:v>1</x:v>
      </x:c>
      <x:c r="H308" s="14" t="n">
        <x:v>1</x:v>
      </x:c>
      <x:c r="I308" s="53" t="b">
        <x:v>1</x:v>
      </x:c>
      <x:c r="J308" s="14" t="str"/>
      <x:c r="K308" s="14" t="str"/>
    </x:row>
    <x:row r="309">
      <x:c r="A309" t="str">
        <x:v>a2_new_minus_old_on_new_a1</x:v>
      </x:c>
      <x:c r="B309" t="str">
        <x:f>"qid:-1859261645300630518"</x:f>
        <x:v>qid:-1859261645300630518</x:v>
      </x:c>
      <x:c r="C309" s="14" t="str">
        <x:v>When does steve come back in shameless season 5?</x:v>
      </x:c>
      <x:c r="D309" s="14" t="str">
        <x:v>span_aligned</x:v>
      </x:c>
      <x:c r="E309" s="14" t="str">
        <x:v>Steve Howey appears in Shameless season 5, episode 1 named "The Big Sick".</x:v>
      </x:c>
      <x:c r="F309" s="14" t="str">
        <x:v>Steve Howey returns in Shameless season 5 in episode 1 titled "The Big Sick", which premiered on January 11, 2015</x:v>
      </x:c>
      <x:c r="G309" s="14" t="n">
        <x:v>1</x:v>
      </x:c>
      <x:c r="H309" s="14" t="n">
        <x:v>1</x:v>
      </x:c>
      <x:c r="I309" s="53" t="b">
        <x:v>1</x:v>
      </x:c>
      <x:c r="J309" s="14" t="str"/>
      <x:c r="K309" s="14" t="str"/>
    </x:row>
    <x:row r="310">
      <x:c r="A310" t="str">
        <x:v>a2_new_minus_old_on_new_a1</x:v>
      </x:c>
      <x:c r="B310" t="str">
        <x:f>"qid:-1859261645300630518"</x:f>
        <x:v>qid:-1859261645300630518</x:v>
      </x:c>
      <x:c r="C310" s="14" t="str">
        <x:v>When does steve come back in shameless season 5?</x:v>
      </x:c>
      <x:c r="D310" s="14" t="str">
        <x:v>rewrite_faithful</x:v>
      </x:c>
      <x:c r="E310" s="14" t="str">
        <x:v>Steve Howey appears in Shameless season 5, episode 1 named "The Big Sick".</x:v>
      </x:c>
      <x:c r="F310" s="14" t="str">
        <x:v>Steve Howey returns in Shameless season 5 in episode 1 titled "The Big Sick", which premiered on January 11, 2015</x:v>
      </x:c>
      <x:c r="G310" s="14" t="n">
        <x:v>1</x:v>
      </x:c>
      <x:c r="H310" s="14" t="n">
        <x:v>1</x:v>
      </x:c>
      <x:c r="I310" s="53" t="b">
        <x:v>1</x:v>
      </x:c>
      <x:c r="J310" s="14" t="str"/>
      <x:c r="K310" s="14" t="str"/>
    </x:row>
    <x:row r="311">
      <x:c r="A311" t="str">
        <x:v>a2_new_minus_old_on_new_a1</x:v>
      </x:c>
      <x:c r="B311" t="str">
        <x:f>"qid:-1859261645300630518"</x:f>
        <x:v>qid:-1859261645300630518</x:v>
      </x:c>
      <x:c r="C311" s="14" t="str">
        <x:v>When does steve come back in shameless season 5?</x:v>
      </x:c>
      <x:c r="D311" s="14" t="str">
        <x:v>atomic</x:v>
      </x:c>
      <x:c r="E311" s="14" t="str">
        <x:v>The episode "The Big Sick" aired on January 11, 2015.</x:v>
      </x:c>
      <x:c r="F311" s="14" t="str">
        <x:v>Steve Howey returns in Shameless season 5 in episode 1 titled "The Big Sick", which premiered on January 11, 2015 [2].</x:v>
      </x:c>
      <x:c r="G311" s="14" t="n">
        <x:v>1</x:v>
      </x:c>
      <x:c r="H311" s="14" t="n">
        <x:v>1</x:v>
      </x:c>
      <x:c r="I311" s="53" t="b">
        <x:v>1</x:v>
      </x:c>
      <x:c r="J311" s="14" t="str"/>
      <x:c r="K311" s="14" t="str"/>
    </x:row>
    <x:row r="312">
      <x:c r="A312" t="str">
        <x:v>a2_new_minus_old_on_new_a1</x:v>
      </x:c>
      <x:c r="B312" t="str">
        <x:f>"qid:-1859261645300630518"</x:f>
        <x:v>qid:-1859261645300630518</x:v>
      </x:c>
      <x:c r="C312" s="14" t="str">
        <x:v>When does steve come back in shameless season 5?</x:v>
      </x:c>
      <x:c r="D312" s="14" t="str">
        <x:v>self_contained</x:v>
      </x:c>
      <x:c r="E312" s="14" t="str">
        <x:v>The episode "The Big Sick" aired on January 11, 2015.</x:v>
      </x:c>
      <x:c r="F312" s="14" t="str">
        <x:v>Steve Howey returns in Shameless season 5 in episode 1 titled "The Big Sick", which premiered on January 11, 2015 [2].</x:v>
      </x:c>
      <x:c r="G312" s="14" t="n">
        <x:v>1</x:v>
      </x:c>
      <x:c r="H312" s="14" t="n">
        <x:v>1</x:v>
      </x:c>
      <x:c r="I312" s="53" t="b">
        <x:v>1</x:v>
      </x:c>
      <x:c r="J312" s="14" t="str"/>
      <x:c r="K312" s="14" t="str"/>
    </x:row>
    <x:row r="313">
      <x:c r="A313" t="str">
        <x:v>a2_new_minus_old_on_new_a1</x:v>
      </x:c>
      <x:c r="B313" t="str">
        <x:f>"qid:-1859261645300630518"</x:f>
        <x:v>qid:-1859261645300630518</x:v>
      </x:c>
      <x:c r="C313" s="14" t="str">
        <x:v>When does steve come back in shameless season 5?</x:v>
      </x:c>
      <x:c r="D313" s="14" t="str">
        <x:v>span_aligned</x:v>
      </x:c>
      <x:c r="E313" s="14" t="str">
        <x:v>The episode "The Big Sick" aired on January 11, 2015.</x:v>
      </x:c>
      <x:c r="F313" s="14" t="str">
        <x:v>Steve Howey returns in Shameless season 5 in episode 1 titled "The Big Sick", which premiered on January 11, 2015 [2].</x:v>
      </x:c>
      <x:c r="G313" s="14" t="n">
        <x:v>1</x:v>
      </x:c>
      <x:c r="H313" s="14" t="n">
        <x:v>1</x:v>
      </x:c>
      <x:c r="I313" s="53" t="b">
        <x:v>1</x:v>
      </x:c>
      <x:c r="J313" s="14" t="str"/>
      <x:c r="K313" s="14" t="str"/>
    </x:row>
    <x:row r="314">
      <x:c r="A314" t="str">
        <x:v>a2_new_minus_old_on_new_a1</x:v>
      </x:c>
      <x:c r="B314" t="str">
        <x:f>"qid:-1859261645300630518"</x:f>
        <x:v>qid:-1859261645300630518</x:v>
      </x:c>
      <x:c r="C314" s="14" t="str">
        <x:v>When does steve come back in shameless season 5?</x:v>
      </x:c>
      <x:c r="D314" s="14" t="str">
        <x:v>rewrite_faithful</x:v>
      </x:c>
      <x:c r="E314" s="14" t="str">
        <x:v>The episode "The Big Sick" aired on January 11, 2015.</x:v>
      </x:c>
      <x:c r="F314" s="14" t="str">
        <x:v>Steve Howey returns in Shameless season 5 in episode 1 titled "The Big Sick", which premiered on January 11, 2015 [2].</x:v>
      </x:c>
      <x:c r="G314" s="14" t="n">
        <x:v>1</x:v>
      </x:c>
      <x:c r="H314" s="14" t="n">
        <x:v>1</x:v>
      </x:c>
      <x:c r="I314" s="53" t="b">
        <x:v>1</x:v>
      </x:c>
      <x:c r="J314" s="14" t="str"/>
      <x:c r="K314" s="14" t="str"/>
    </x:row>
    <x:row r="315">
      <x:c r="A315" t="str">
        <x:v>a2_new_minus_old_on_new_a1</x:v>
      </x:c>
      <x:c r="B315" t="str">
        <x:f>"qid:-2585133819352441604"</x:f>
        <x:v>qid:-2585133819352441604</x:v>
      </x:c>
      <x:c r="C315" s="14" t="str">
        <x:v>Name of first episode of this is us?</x:v>
      </x:c>
      <x:c r="D315" s="14" t="str">
        <x:v>atomic</x:v>
      </x:c>
      <x:c r="E315" s="14" t="str">
        <x:v>The title of the first episode of the TV series This Is Us is Remember.</x:v>
      </x:c>
      <x:c r="F315" s="14" t="str">
        <x:v>The first episode of This Is Us is called "Remember"</x:v>
      </x:c>
      <x:c r="G315" s="14" t="n">
        <x:v>1</x:v>
      </x:c>
      <x:c r="H315" s="14" t="n">
        <x:v>1</x:v>
      </x:c>
      <x:c r="I315" s="53" t="b">
        <x:v>1</x:v>
      </x:c>
      <x:c r="J315" s="14" t="str"/>
      <x:c r="K315" s="14" t="str"/>
    </x:row>
    <x:row r="316">
      <x:c r="A316" t="str">
        <x:v>a2_new_minus_old_on_new_a1</x:v>
      </x:c>
      <x:c r="B316" t="str">
        <x:f>"qid:-2585133819352441604"</x:f>
        <x:v>qid:-2585133819352441604</x:v>
      </x:c>
      <x:c r="C316" s="14" t="str">
        <x:v>Name of first episode of this is us?</x:v>
      </x:c>
      <x:c r="D316" s="14" t="str">
        <x:v>self_contained</x:v>
      </x:c>
      <x:c r="E316" s="14" t="str">
        <x:v>The title of the first episode of the TV series This Is Us is Remember.</x:v>
      </x:c>
      <x:c r="F316" s="14" t="str">
        <x:v>The first episode of This Is Us is called "Remember"</x:v>
      </x:c>
      <x:c r="G316" s="14" t="n">
        <x:v>1</x:v>
      </x:c>
      <x:c r="H316" s="14" t="n">
        <x:v>1</x:v>
      </x:c>
      <x:c r="I316" s="53" t="b">
        <x:v>1</x:v>
      </x:c>
      <x:c r="J316" s="14" t="str"/>
      <x:c r="K316" s="14" t="str"/>
    </x:row>
    <x:row r="317">
      <x:c r="A317" t="str">
        <x:v>a2_new_minus_old_on_new_a1</x:v>
      </x:c>
      <x:c r="B317" t="str">
        <x:f>"qid:-2585133819352441604"</x:f>
        <x:v>qid:-2585133819352441604</x:v>
      </x:c>
      <x:c r="C317" s="14" t="str">
        <x:v>Name of first episode of this is us?</x:v>
      </x:c>
      <x:c r="D317" s="14" t="str">
        <x:v>span_aligned</x:v>
      </x:c>
      <x:c r="E317" s="14" t="str">
        <x:v>The title of the first episode of the TV series This Is Us is Remember.</x:v>
      </x:c>
      <x:c r="F317" s="14" t="str">
        <x:v>The first episode of This Is Us is called "Remember"</x:v>
      </x:c>
      <x:c r="G317" s="14" t="n">
        <x:v>1</x:v>
      </x:c>
      <x:c r="H317" s="14" t="n">
        <x:v>1</x:v>
      </x:c>
      <x:c r="I317" s="53" t="b">
        <x:v>1</x:v>
      </x:c>
      <x:c r="J317" s="14" t="str"/>
      <x:c r="K317" s="14" t="str"/>
    </x:row>
    <x:row r="318">
      <x:c r="A318" t="str">
        <x:v>a2_new_minus_old_on_new_a1</x:v>
      </x:c>
      <x:c r="B318" t="str">
        <x:f>"qid:-2585133819352441604"</x:f>
        <x:v>qid:-2585133819352441604</x:v>
      </x:c>
      <x:c r="C318" s="14" t="str">
        <x:v>Name of first episode of this is us?</x:v>
      </x:c>
      <x:c r="D318" s="14" t="str">
        <x:v>rewrite_faithful</x:v>
      </x:c>
      <x:c r="E318" s="14" t="str">
        <x:v>The title of the first episode of the TV series This Is Us is Remember.</x:v>
      </x:c>
      <x:c r="F318" s="14" t="str">
        <x:v>The first episode of This Is Us is called "Remember"</x:v>
      </x:c>
      <x:c r="G318" s="14" t="n">
        <x:v>1</x:v>
      </x:c>
      <x:c r="H318" s="14" t="n">
        <x:v>1</x:v>
      </x:c>
      <x:c r="I318" s="53" t="b">
        <x:v>1</x:v>
      </x:c>
      <x:c r="J318" s="14" t="str"/>
      <x:c r="K318" s="14" t="str"/>
    </x:row>
    <x:row r="319">
      <x:c r="A319" t="str">
        <x:v>a2_new_minus_old_on_new_a1</x:v>
      </x:c>
      <x:c r="B319" t="str">
        <x:f>"qid:-3228483207040151533"</x:f>
        <x:v>qid:-3228483207040151533</x:v>
      </x:c>
      <x:c r="C319" s="14" t="str">
        <x:v>What bodies of water surround cabo san lucas?</x:v>
      </x:c>
      <x:c r="D319" s="14" t="str">
        <x:v>atomic</x:v>
      </x:c>
      <x:c r="E319" s="14" t="str">
        <x:v>Cabo San Lucas is geographically located between the Pacific Ocean and the Gulf of California.</x:v>
      </x:c>
      <x:c r="F319" s="14" t="str">
        <x:v>The Pacific Ocean and the Gulf of California surround Cabo San Lucas.</x:v>
      </x:c>
      <x:c r="G319" s="14" t="n">
        <x:v>1</x:v>
      </x:c>
      <x:c r="H319" s="14" t="n">
        <x:v>1</x:v>
      </x:c>
      <x:c r="I319" s="53" t="b">
        <x:v>1</x:v>
      </x:c>
      <x:c r="J319" s="14" t="str"/>
      <x:c r="K319" s="14" t="str"/>
    </x:row>
    <x:row r="320">
      <x:c r="A320" t="str">
        <x:v>a2_new_minus_old_on_new_a1</x:v>
      </x:c>
      <x:c r="B320" t="str">
        <x:f>"qid:-3228483207040151533"</x:f>
        <x:v>qid:-3228483207040151533</x:v>
      </x:c>
      <x:c r="C320" s="14" t="str">
        <x:v>What bodies of water surround cabo san lucas?</x:v>
      </x:c>
      <x:c r="D320" s="14" t="str">
        <x:v>self_contained</x:v>
      </x:c>
      <x:c r="E320" s="14" t="str">
        <x:v>Cabo San Lucas is geographically located between the Pacific Ocean and the Gulf of California.</x:v>
      </x:c>
      <x:c r="F320" s="14" t="str">
        <x:v>The Pacific Ocean and the Gulf of California surround Cabo San Lucas.</x:v>
      </x:c>
      <x:c r="G320" s="14" t="n">
        <x:v>1</x:v>
      </x:c>
      <x:c r="H320" s="14" t="n">
        <x:v>1</x:v>
      </x:c>
      <x:c r="I320" s="53" t="b">
        <x:v>1</x:v>
      </x:c>
      <x:c r="J320" s="14" t="str"/>
      <x:c r="K320" s="14" t="str"/>
    </x:row>
    <x:row r="321">
      <x:c r="A321" t="str">
        <x:v>a2_new_minus_old_on_new_a1</x:v>
      </x:c>
      <x:c r="B321" t="str">
        <x:f>"qid:-3228483207040151533"</x:f>
        <x:v>qid:-3228483207040151533</x:v>
      </x:c>
      <x:c r="C321" s="14" t="str">
        <x:v>What bodies of water surround cabo san lucas?</x:v>
      </x:c>
      <x:c r="D321" s="14" t="str">
        <x:v>span_aligned</x:v>
      </x:c>
      <x:c r="E321" s="14" t="str">
        <x:v>Cabo San Lucas is geographically located between the Pacific Ocean and the Gulf of California.</x:v>
      </x:c>
      <x:c r="F321" s="14" t="str">
        <x:v>The Pacific Ocean and the Gulf of California surround Cabo San Lucas.</x:v>
      </x:c>
      <x:c r="G321" s="14" t="n">
        <x:v>1</x:v>
      </x:c>
      <x:c r="H321" s="14" t="n">
        <x:v>1</x:v>
      </x:c>
      <x:c r="I321" s="53" t="b">
        <x:v>1</x:v>
      </x:c>
      <x:c r="J321" s="14" t="str"/>
      <x:c r="K321" s="14" t="str"/>
    </x:row>
    <x:row r="322">
      <x:c r="A322" t="str">
        <x:v>a2_new_minus_old_on_new_a1</x:v>
      </x:c>
      <x:c r="B322" t="str">
        <x:f>"qid:-3228483207040151533"</x:f>
        <x:v>qid:-3228483207040151533</x:v>
      </x:c>
      <x:c r="C322" s="14" t="str">
        <x:v>What bodies of water surround cabo san lucas?</x:v>
      </x:c>
      <x:c r="D322" s="14" t="str">
        <x:v>rewrite_faithful</x:v>
      </x:c>
      <x:c r="E322" s="14" t="str">
        <x:v>Cabo San Lucas is geographically located between the Pacific Ocean and the Gulf of California.</x:v>
      </x:c>
      <x:c r="F322" s="14" t="str">
        <x:v>The Pacific Ocean and the Gulf of California surround Cabo San Lucas.</x:v>
      </x:c>
      <x:c r="G322" s="14" t="n">
        <x:v>1</x:v>
      </x:c>
      <x:c r="H322" s="14" t="n">
        <x:v>1</x:v>
      </x:c>
      <x:c r="I322" s="53" t="b">
        <x:v>1</x:v>
      </x:c>
      <x:c r="J322" s="14" t="str"/>
      <x:c r="K322" s="14" t="str"/>
    </x:row>
    <x:row r="323">
      <x:c r="A323" t="str">
        <x:v>a2_new_minus_old_on_new_a1</x:v>
      </x:c>
      <x:c r="B323" t="str">
        <x:f>"qid:-3279585462082900736"</x:f>
        <x:v>qid:-3279585462082900736</x:v>
      </x:c>
      <x:c r="C323" s="14" t="str">
        <x:v>Who gets fired on grey's anatomy season 6?</x:v>
      </x:c>
      <x:c r="D323" s="14" t="str">
        <x:v>atomic</x:v>
      </x:c>
      <x:c r="E323" s="14" t="str">
        <x:v>Katherine Heigl's character, Dr. Izzie Stevens, is written out of Grey's Anatomy in season 6.</x:v>
      </x:c>
      <x:c r="F323" s="14" t="str">
        <x:v>Katherine Heigl gets fired on Grey's Anatomy season 6</x:v>
      </x:c>
      <x:c r="G323" s="14" t="n">
        <x:v>1</x:v>
      </x:c>
      <x:c r="H323" s="14" t="n">
        <x:v>1</x:v>
      </x:c>
      <x:c r="I323" s="53" t="b">
        <x:v>1</x:v>
      </x:c>
      <x:c r="J323" s="14" t="str">
        <x:v>span_misaligned;meaning_changed</x:v>
      </x:c>
      <x:c r="K323" s="14" t="str">
        <x:v>span_misaligned;meaning_changed</x:v>
      </x:c>
    </x:row>
    <x:row r="324">
      <x:c r="A324" t="str">
        <x:v>a2_new_minus_old_on_new_a1</x:v>
      </x:c>
      <x:c r="B324" t="str">
        <x:f>"qid:-3279585462082900736"</x:f>
        <x:v>qid:-3279585462082900736</x:v>
      </x:c>
      <x:c r="C324" s="14" t="str">
        <x:v>Who gets fired on grey's anatomy season 6?</x:v>
      </x:c>
      <x:c r="D324" s="14" t="str">
        <x:v>self_contained</x:v>
      </x:c>
      <x:c r="E324" s="14" t="str">
        <x:v>Katherine Heigl's character, Dr. Izzie Stevens, is written out of Grey's Anatomy in season 6.</x:v>
      </x:c>
      <x:c r="F324" s="14" t="str">
        <x:v>Katherine Heigl gets fired on Grey's Anatomy season 6</x:v>
      </x:c>
      <x:c r="G324" s="14" t="n">
        <x:v>1</x:v>
      </x:c>
      <x:c r="H324" s="14" t="n">
        <x:v>1</x:v>
      </x:c>
      <x:c r="I324" s="53" t="b">
        <x:v>1</x:v>
      </x:c>
      <x:c r="J324" s="14" t="str">
        <x:v>span_misaligned;meaning_changed</x:v>
      </x:c>
      <x:c r="K324" s="14" t="str">
        <x:v>span_misaligned;meaning_changed</x:v>
      </x:c>
    </x:row>
    <x:row r="325">
      <x:c r="A325" t="str">
        <x:v>a2_new_minus_old_on_new_a1</x:v>
      </x:c>
      <x:c r="B325" t="str">
        <x:f>"qid:-3279585462082900736"</x:f>
        <x:v>qid:-3279585462082900736</x:v>
      </x:c>
      <x:c r="C325" s="14" t="str">
        <x:v>Who gets fired on grey's anatomy season 6?</x:v>
      </x:c>
      <x:c r="D325" s="14" t="str">
        <x:v>span_aligned</x:v>
      </x:c>
      <x:c r="E325" s="14" t="str">
        <x:v>Katherine Heigl's character, Dr. Izzie Stevens, is written out of Grey's Anatomy in season 6.</x:v>
      </x:c>
      <x:c r="F325" s="14" t="str">
        <x:v>Katherine Heigl gets fired on Grey's Anatomy season 6</x:v>
      </x:c>
      <x:c r="G325" s="14" t="n">
        <x:v>0</x:v>
      </x:c>
      <x:c r="H325" s="14" t="n">
        <x:v>0</x:v>
      </x:c>
      <x:c r="I325" s="53" t="b">
        <x:v>1</x:v>
      </x:c>
      <x:c r="J325" s="14" t="str">
        <x:v>span_misaligned;meaning_changed</x:v>
      </x:c>
      <x:c r="K325" s="14" t="str">
        <x:v>span_misaligned;meaning_changed</x:v>
      </x:c>
    </x:row>
    <x:row r="326">
      <x:c r="A326" t="str">
        <x:v>a2_new_minus_old_on_new_a1</x:v>
      </x:c>
      <x:c r="B326" t="str">
        <x:f>"qid:-3279585462082900736"</x:f>
        <x:v>qid:-3279585462082900736</x:v>
      </x:c>
      <x:c r="C326" s="14" t="str">
        <x:v>Who gets fired on grey's anatomy season 6?</x:v>
      </x:c>
      <x:c r="D326" s="14" t="str">
        <x:v>rewrite_faithful</x:v>
      </x:c>
      <x:c r="E326" s="14" t="str">
        <x:v>Katherine Heigl's character, Dr. Izzie Stevens, is written out of Grey's Anatomy in season 6.</x:v>
      </x:c>
      <x:c r="F326" s="14" t="str">
        <x:v>Katherine Heigl gets fired on Grey's Anatomy season 6</x:v>
      </x:c>
      <x:c r="G326" s="14" t="n">
        <x:v>0</x:v>
      </x:c>
      <x:c r="H326" s="14" t="n">
        <x:v>0</x:v>
      </x:c>
      <x:c r="I326" s="53" t="b">
        <x:v>1</x:v>
      </x:c>
      <x:c r="J326" s="14" t="str">
        <x:v>span_misaligned;meaning_changed</x:v>
      </x:c>
      <x:c r="K326" s="14" t="str">
        <x:v>span_misaligned;meaning_changed</x:v>
      </x:c>
    </x:row>
    <x:row r="327">
      <x:c r="A327" t="str">
        <x:v>a2_new_minus_old_on_new_a1</x:v>
      </x:c>
      <x:c r="B327" t="str">
        <x:f>"qid:-3344541168958463110"</x:f>
        <x:v>qid:-3344541168958463110</x:v>
      </x:c>
      <x:c r="C327" s="14" t="str">
        <x:v>Who fought with an angel in the bible?</x:v>
      </x:c>
      <x:c r="D327" s="14" t="str">
        <x:v>atomic</x:v>
      </x:c>
      <x:c r="E327" s="14" t="str">
        <x:v>Jacob engaged in a physical confrontation with an angel in the Bible.</x:v>
      </x:c>
      <x:c r="F327" s="14" t="str">
        <x:v>Jacob fought with an angel</x:v>
      </x:c>
      <x:c r="G327" s="14" t="n">
        <x:v>1</x:v>
      </x:c>
      <x:c r="H327" s="14" t="n">
        <x:v>1</x:v>
      </x:c>
      <x:c r="I327" s="53" t="b">
        <x:v>1</x:v>
      </x:c>
      <x:c r="J327" s="14" t="str"/>
      <x:c r="K327" s="14" t="str">
        <x:v>span_misaligned;meaning_changed</x:v>
      </x:c>
    </x:row>
    <x:row r="328">
      <x:c r="A328" t="str">
        <x:v>a2_new_minus_old_on_new_a1</x:v>
      </x:c>
      <x:c r="B328" t="str">
        <x:f>"qid:-3344541168958463110"</x:f>
        <x:v>qid:-3344541168958463110</x:v>
      </x:c>
      <x:c r="C328" s="14" t="str">
        <x:v>Who fought with an angel in the bible?</x:v>
      </x:c>
      <x:c r="D328" s="14" t="str">
        <x:v>self_contained</x:v>
      </x:c>
      <x:c r="E328" s="14" t="str">
        <x:v>Jacob engaged in a physical confrontation with an angel in the Bible.</x:v>
      </x:c>
      <x:c r="F328" s="14" t="str">
        <x:v>Jacob fought with an angel</x:v>
      </x:c>
      <x:c r="G328" s="14" t="n">
        <x:v>1</x:v>
      </x:c>
      <x:c r="H328" s="14" t="n">
        <x:v>1</x:v>
      </x:c>
      <x:c r="I328" s="53" t="b">
        <x:v>1</x:v>
      </x:c>
      <x:c r="J328" s="14" t="str"/>
      <x:c r="K328" s="14" t="str">
        <x:v>span_misaligned;meaning_changed</x:v>
      </x:c>
    </x:row>
    <x:row r="329">
      <x:c r="A329" t="str">
        <x:v>a2_new_minus_old_on_new_a1</x:v>
      </x:c>
      <x:c r="B329" t="str">
        <x:f>"qid:-3344541168958463110"</x:f>
        <x:v>qid:-3344541168958463110</x:v>
      </x:c>
      <x:c r="C329" s="14" t="str">
        <x:v>Who fought with an angel in the bible?</x:v>
      </x:c>
      <x:c r="D329" s="14" t="str">
        <x:v>span_aligned</x:v>
      </x:c>
      <x:c r="E329" s="14" t="str">
        <x:v>Jacob engaged in a physical confrontation with an angel in the Bible.</x:v>
      </x:c>
      <x:c r="F329" s="14" t="str">
        <x:v>Jacob fought with an angel</x:v>
      </x:c>
      <x:c r="G329" s="14" t="n">
        <x:v>1</x:v>
      </x:c>
      <x:c r="H329" s="14" t="n">
        <x:v>0</x:v>
      </x:c>
      <x:c r="I329" s="53" t="b">
        <x:v>0</x:v>
      </x:c>
      <x:c r="J329" s="14" t="str"/>
      <x:c r="K329" s="14" t="str">
        <x:v>span_misaligned;meaning_changed</x:v>
      </x:c>
    </x:row>
    <x:row r="330">
      <x:c r="A330" t="str">
        <x:v>a2_new_minus_old_on_new_a1</x:v>
      </x:c>
      <x:c r="B330" t="str">
        <x:f>"qid:-3344541168958463110"</x:f>
        <x:v>qid:-3344541168958463110</x:v>
      </x:c>
      <x:c r="C330" s="14" t="str">
        <x:v>Who fought with an angel in the bible?</x:v>
      </x:c>
      <x:c r="D330" s="14" t="str">
        <x:v>rewrite_faithful</x:v>
      </x:c>
      <x:c r="E330" s="14" t="str">
        <x:v>Jacob engaged in a physical confrontation with an angel in the Bible.</x:v>
      </x:c>
      <x:c r="F330" s="14" t="str">
        <x:v>Jacob fought with an angel</x:v>
      </x:c>
      <x:c r="G330" s="14" t="n">
        <x:v>1</x:v>
      </x:c>
      <x:c r="H330" s="14" t="n">
        <x:v>0</x:v>
      </x:c>
      <x:c r="I330" s="53" t="b">
        <x:v>0</x:v>
      </x:c>
      <x:c r="J330" s="14" t="str"/>
      <x:c r="K330" s="14" t="str">
        <x:v>span_misaligned;meaning_changed</x:v>
      </x:c>
    </x:row>
    <x:row r="331">
      <x:c r="A331" t="str">
        <x:v>a2_new_minus_old_on_new_a1</x:v>
      </x:c>
      <x:c r="B331" t="str">
        <x:f>"qid:-3904805932335139116"</x:f>
        <x:v>qid:-3904805932335139116</x:v>
      </x:c>
      <x:c r="C331" s="14" t="str">
        <x:v>What was the daughter's name on the jetsons?</x:v>
      </x:c>
      <x:c r="D331" s="14" t="str">
        <x:v>atomic</x:v>
      </x:c>
      <x:c r="E331" s="14" t="str">
        <x:v>Judy Jetson is a character in the animated television series The Jetsons.</x:v>
      </x:c>
      <x:c r="F331" s="14" t="str">
        <x:v>Judy Jetson [2]</x:v>
      </x:c>
      <x:c r="G331" s="14" t="n">
        <x:v>1</x:v>
      </x:c>
      <x:c r="H331" s="14" t="n">
        <x:v>1</x:v>
      </x:c>
      <x:c r="I331" s="53" t="b">
        <x:v>1</x:v>
      </x:c>
      <x:c r="J331" s="14" t="str">
        <x:v>span_misaligned;meaning_changed</x:v>
      </x:c>
      <x:c r="K331" s="14" t="str">
        <x:v>span_misaligned;meaning_changed</x:v>
      </x:c>
    </x:row>
    <x:row r="332">
      <x:c r="A332" t="str">
        <x:v>a2_new_minus_old_on_new_a1</x:v>
      </x:c>
      <x:c r="B332" t="str">
        <x:f>"qid:-3904805932335139116"</x:f>
        <x:v>qid:-3904805932335139116</x:v>
      </x:c>
      <x:c r="C332" s="14" t="str">
        <x:v>What was the daughter's name on the jetsons?</x:v>
      </x:c>
      <x:c r="D332" s="14" t="str">
        <x:v>self_contained</x:v>
      </x:c>
      <x:c r="E332" s="14" t="str">
        <x:v>Judy Jetson is a character in the animated television series The Jetsons.</x:v>
      </x:c>
      <x:c r="F332" s="14" t="str">
        <x:v>Judy Jetson [2]</x:v>
      </x:c>
      <x:c r="G332" s="14" t="n">
        <x:v>1</x:v>
      </x:c>
      <x:c r="H332" s="14" t="n">
        <x:v>1</x:v>
      </x:c>
      <x:c r="I332" s="53" t="b">
        <x:v>1</x:v>
      </x:c>
      <x:c r="J332" s="14" t="str">
        <x:v>span_misaligned;meaning_changed</x:v>
      </x:c>
      <x:c r="K332" s="14" t="str">
        <x:v>span_misaligned;meaning_changed</x:v>
      </x:c>
    </x:row>
    <x:row r="333">
      <x:c r="A333" t="str">
        <x:v>a2_new_minus_old_on_new_a1</x:v>
      </x:c>
      <x:c r="B333" t="str">
        <x:f>"qid:-3904805932335139116"</x:f>
        <x:v>qid:-3904805932335139116</x:v>
      </x:c>
      <x:c r="C333" s="14" t="str">
        <x:v>What was the daughter's name on the jetsons?</x:v>
      </x:c>
      <x:c r="D333" s="14" t="str">
        <x:v>span_aligned</x:v>
      </x:c>
      <x:c r="E333" s="14" t="str">
        <x:v>Judy Jetson is a character in the animated television series The Jetsons.</x:v>
      </x:c>
      <x:c r="F333" s="14" t="str">
        <x:v>Judy Jetson [2]</x:v>
      </x:c>
      <x:c r="G333" s="14" t="n">
        <x:v>0</x:v>
      </x:c>
      <x:c r="H333" s="14" t="n">
        <x:v>0</x:v>
      </x:c>
      <x:c r="I333" s="53" t="b">
        <x:v>1</x:v>
      </x:c>
      <x:c r="J333" s="14" t="str">
        <x:v>span_misaligned;meaning_changed</x:v>
      </x:c>
      <x:c r="K333" s="14" t="str">
        <x:v>span_misaligned;meaning_changed</x:v>
      </x:c>
    </x:row>
    <x:row r="334">
      <x:c r="A334" t="str">
        <x:v>a2_new_minus_old_on_new_a1</x:v>
      </x:c>
      <x:c r="B334" t="str">
        <x:f>"qid:-3904805932335139116"</x:f>
        <x:v>qid:-3904805932335139116</x:v>
      </x:c>
      <x:c r="C334" s="14" t="str">
        <x:v>What was the daughter's name on the jetsons?</x:v>
      </x:c>
      <x:c r="D334" s="14" t="str">
        <x:v>rewrite_faithful</x:v>
      </x:c>
      <x:c r="E334" s="14" t="str">
        <x:v>Judy Jetson is a character in the animated television series The Jetsons.</x:v>
      </x:c>
      <x:c r="F334" s="14" t="str">
        <x:v>Judy Jetson [2]</x:v>
      </x:c>
      <x:c r="G334" s="14" t="n">
        <x:v>0</x:v>
      </x:c>
      <x:c r="H334" s="14" t="n">
        <x:v>0</x:v>
      </x:c>
      <x:c r="I334" s="53" t="b">
        <x:v>1</x:v>
      </x:c>
      <x:c r="J334" s="14" t="str">
        <x:v>span_misaligned;meaning_changed</x:v>
      </x:c>
      <x:c r="K334" s="14" t="str">
        <x:v>span_misaligned;meaning_changed</x:v>
      </x:c>
    </x:row>
    <x:row r="335">
      <x:c r="A335" t="str">
        <x:v>a2_new_minus_old_on_new_a1</x:v>
      </x:c>
      <x:c r="B335" t="str">
        <x:f>"qid:-4286108617234818000"</x:f>
        <x:v>qid:-4286108617234818000</x:v>
      </x:c>
      <x:c r="C335" s="14" t="str">
        <x:v>When does the new super troopers movie come out?</x:v>
      </x:c>
      <x:c r="D335" s="14" t="str">
        <x:v>atomic</x:v>
      </x:c>
      <x:c r="E335" s="14" t="str">
        <x:v>Fox Searchlight Pictures was the distributor of Super Troopers 2.</x:v>
      </x:c>
      <x:c r="F335" s="14" t="str">
        <x:v>was released by Fox Searchlight Pictures</x:v>
      </x:c>
      <x:c r="G335" s="14" t="n">
        <x:v>1</x:v>
      </x:c>
      <x:c r="H335" s="14" t="n">
        <x:v>1</x:v>
      </x:c>
      <x:c r="I335" s="53" t="b">
        <x:v>1</x:v>
      </x:c>
      <x:c r="J335" s="14" t="str">
        <x:v>span_misaligned;meaning_changed</x:v>
      </x:c>
      <x:c r="K335" s="14" t="str">
        <x:v>span_misaligned;meaning_changed</x:v>
      </x:c>
    </x:row>
    <x:row r="336">
      <x:c r="A336" t="str">
        <x:v>a2_new_minus_old_on_new_a1</x:v>
      </x:c>
      <x:c r="B336" t="str">
        <x:f>"qid:-4286108617234818000"</x:f>
        <x:v>qid:-4286108617234818000</x:v>
      </x:c>
      <x:c r="C336" s="14" t="str">
        <x:v>When does the new super troopers movie come out?</x:v>
      </x:c>
      <x:c r="D336" s="14" t="str">
        <x:v>self_contained</x:v>
      </x:c>
      <x:c r="E336" s="14" t="str">
        <x:v>Fox Searchlight Pictures was the distributor of Super Troopers 2.</x:v>
      </x:c>
      <x:c r="F336" s="14" t="str">
        <x:v>was released by Fox Searchlight Pictures</x:v>
      </x:c>
      <x:c r="G336" s="14" t="n">
        <x:v>1</x:v>
      </x:c>
      <x:c r="H336" s="14" t="n">
        <x:v>1</x:v>
      </x:c>
      <x:c r="I336" s="53" t="b">
        <x:v>1</x:v>
      </x:c>
      <x:c r="J336" s="14" t="str">
        <x:v>span_misaligned;meaning_changed</x:v>
      </x:c>
      <x:c r="K336" s="14" t="str">
        <x:v>span_misaligned;meaning_changed</x:v>
      </x:c>
    </x:row>
    <x:row r="337">
      <x:c r="A337" t="str">
        <x:v>a2_new_minus_old_on_new_a1</x:v>
      </x:c>
      <x:c r="B337" t="str">
        <x:f>"qid:-4286108617234818000"</x:f>
        <x:v>qid:-4286108617234818000</x:v>
      </x:c>
      <x:c r="C337" s="14" t="str">
        <x:v>When does the new super troopers movie come out?</x:v>
      </x:c>
      <x:c r="D337" s="14" t="str">
        <x:v>span_aligned</x:v>
      </x:c>
      <x:c r="E337" s="14" t="str">
        <x:v>Fox Searchlight Pictures was the distributor of Super Troopers 2.</x:v>
      </x:c>
      <x:c r="F337" s="14" t="str">
        <x:v>was released by Fox Searchlight Pictures</x:v>
      </x:c>
      <x:c r="G337" s="14" t="n">
        <x:v>0</x:v>
      </x:c>
      <x:c r="H337" s="14" t="n">
        <x:v>0</x:v>
      </x:c>
      <x:c r="I337" s="53" t="b">
        <x:v>1</x:v>
      </x:c>
      <x:c r="J337" s="14" t="str">
        <x:v>span_misaligned;meaning_changed</x:v>
      </x:c>
      <x:c r="K337" s="14" t="str">
        <x:v>span_misaligned;meaning_changed</x:v>
      </x:c>
    </x:row>
    <x:row r="338">
      <x:c r="A338" t="str">
        <x:v>a2_new_minus_old_on_new_a1</x:v>
      </x:c>
      <x:c r="B338" t="str">
        <x:f>"qid:-4286108617234818000"</x:f>
        <x:v>qid:-4286108617234818000</x:v>
      </x:c>
      <x:c r="C338" s="14" t="str">
        <x:v>When does the new super troopers movie come out?</x:v>
      </x:c>
      <x:c r="D338" s="14" t="str">
        <x:v>rewrite_faithful</x:v>
      </x:c>
      <x:c r="E338" s="14" t="str">
        <x:v>Fox Searchlight Pictures was the distributor of Super Troopers 2.</x:v>
      </x:c>
      <x:c r="F338" s="14" t="str">
        <x:v>was released by Fox Searchlight Pictures</x:v>
      </x:c>
      <x:c r="G338" s="14" t="n">
        <x:v>0</x:v>
      </x:c>
      <x:c r="H338" s="14" t="n">
        <x:v>0</x:v>
      </x:c>
      <x:c r="I338" s="53" t="b">
        <x:v>1</x:v>
      </x:c>
      <x:c r="J338" s="14" t="str">
        <x:v>span_misaligned;meaning_changed</x:v>
      </x:c>
      <x:c r="K338" s="14" t="str">
        <x:v>span_misaligned;meaning_changed</x:v>
      </x:c>
    </x:row>
    <x:row r="339">
      <x:c r="A339" t="str">
        <x:v>a2_new_minus_old_on_new_a1</x:v>
      </x:c>
      <x:c r="B339" t="str">
        <x:f>"qid:-4286108617234818000"</x:f>
        <x:v>qid:-4286108617234818000</x:v>
      </x:c>
      <x:c r="C339" s="14" t="str">
        <x:v>When does the new super troopers movie come out?</x:v>
      </x:c>
      <x:c r="D339" s="14" t="str">
        <x:v>atomic</x:v>
      </x:c>
      <x:c r="E339" s="14" t="str">
        <x:v>Super Troopers 2 is a film title.</x:v>
      </x:c>
      <x:c r="F339" s="14" t="str">
        <x:v>Super Troopers 2</x:v>
      </x:c>
      <x:c r="G339" s="14" t="n">
        <x:v>1</x:v>
      </x:c>
      <x:c r="H339" s="14" t="n">
        <x:v>1</x:v>
      </x:c>
      <x:c r="I339" s="53" t="b">
        <x:v>1</x:v>
      </x:c>
      <x:c r="J339" s="14" t="str">
        <x:v>span_misaligned;meaning_changed</x:v>
      </x:c>
      <x:c r="K339" s="14" t="str">
        <x:v>span_misaligned;meaning_changed</x:v>
      </x:c>
    </x:row>
    <x:row r="340">
      <x:c r="A340" t="str">
        <x:v>a2_new_minus_old_on_new_a1</x:v>
      </x:c>
      <x:c r="B340" t="str">
        <x:f>"qid:-4286108617234818000"</x:f>
        <x:v>qid:-4286108617234818000</x:v>
      </x:c>
      <x:c r="C340" s="14" t="str">
        <x:v>When does the new super troopers movie come out?</x:v>
      </x:c>
      <x:c r="D340" s="14" t="str">
        <x:v>self_contained</x:v>
      </x:c>
      <x:c r="E340" s="14" t="str">
        <x:v>Super Troopers 2 is a film title.</x:v>
      </x:c>
      <x:c r="F340" s="14" t="str">
        <x:v>Super Troopers 2</x:v>
      </x:c>
      <x:c r="G340" s="14" t="n">
        <x:v>1</x:v>
      </x:c>
      <x:c r="H340" s="14" t="n">
        <x:v>1</x:v>
      </x:c>
      <x:c r="I340" s="53" t="b">
        <x:v>1</x:v>
      </x:c>
      <x:c r="J340" s="14" t="str">
        <x:v>span_misaligned;meaning_changed</x:v>
      </x:c>
      <x:c r="K340" s="14" t="str">
        <x:v>span_misaligned;meaning_changed</x:v>
      </x:c>
    </x:row>
    <x:row r="341">
      <x:c r="A341" t="str">
        <x:v>a2_new_minus_old_on_new_a1</x:v>
      </x:c>
      <x:c r="B341" t="str">
        <x:f>"qid:-4286108617234818000"</x:f>
        <x:v>qid:-4286108617234818000</x:v>
      </x:c>
      <x:c r="C341" s="14" t="str">
        <x:v>When does the new super troopers movie come out?</x:v>
      </x:c>
      <x:c r="D341" s="14" t="str">
        <x:v>span_aligned</x:v>
      </x:c>
      <x:c r="E341" s="14" t="str">
        <x:v>Super Troopers 2 is a film title.</x:v>
      </x:c>
      <x:c r="F341" s="14" t="str">
        <x:v>Super Troopers 2</x:v>
      </x:c>
      <x:c r="G341" s="14" t="n">
        <x:v>0</x:v>
      </x:c>
      <x:c r="H341" s="14" t="n">
        <x:v>0</x:v>
      </x:c>
      <x:c r="I341" s="53" t="b">
        <x:v>1</x:v>
      </x:c>
      <x:c r="J341" s="14" t="str">
        <x:v>span_misaligned;meaning_changed</x:v>
      </x:c>
      <x:c r="K341" s="14" t="str">
        <x:v>span_misaligned;meaning_changed</x:v>
      </x:c>
    </x:row>
    <x:row r="342">
      <x:c r="A342" t="str">
        <x:v>a2_new_minus_old_on_new_a1</x:v>
      </x:c>
      <x:c r="B342" t="str">
        <x:f>"qid:-4286108617234818000"</x:f>
        <x:v>qid:-4286108617234818000</x:v>
      </x:c>
      <x:c r="C342" s="14" t="str">
        <x:v>When does the new super troopers movie come out?</x:v>
      </x:c>
      <x:c r="D342" s="14" t="str">
        <x:v>rewrite_faithful</x:v>
      </x:c>
      <x:c r="E342" s="14" t="str">
        <x:v>Super Troopers 2 is a film title.</x:v>
      </x:c>
      <x:c r="F342" s="14" t="str">
        <x:v>Super Troopers 2</x:v>
      </x:c>
      <x:c r="G342" s="14" t="n">
        <x:v>0</x:v>
      </x:c>
      <x:c r="H342" s="14" t="n">
        <x:v>0</x:v>
      </x:c>
      <x:c r="I342" s="53" t="b">
        <x:v>1</x:v>
      </x:c>
      <x:c r="J342" s="14" t="str">
        <x:v>span_misaligned;meaning_changed</x:v>
      </x:c>
      <x:c r="K342" s="14" t="str">
        <x:v>span_misaligned;meaning_changed</x:v>
      </x:c>
    </x:row>
    <x:row r="343">
      <x:c r="A343" t="str">
        <x:v>a2_new_minus_old_on_new_a1</x:v>
      </x:c>
      <x:c r="B343" t="str">
        <x:f>"qid:-4286108617234818000"</x:f>
        <x:v>qid:-4286108617234818000</x:v>
      </x:c>
      <x:c r="C343" s="14" t="str">
        <x:v>When does the new super troopers movie come out?</x:v>
      </x:c>
      <x:c r="D343" s="14" t="str">
        <x:v>atomic</x:v>
      </x:c>
      <x:c r="E343" s="14" t="str">
        <x:v>Super Troopers 2 was released on April 20, 2018.</x:v>
      </x:c>
      <x:c r="F343" s="14" t="str">
        <x:v>on April 20, 2018</x:v>
      </x:c>
      <x:c r="G343" s="14" t="n">
        <x:v>1</x:v>
      </x:c>
      <x:c r="H343" s="14" t="n">
        <x:v>1</x:v>
      </x:c>
      <x:c r="I343" s="53" t="b">
        <x:v>1</x:v>
      </x:c>
      <x:c r="J343" s="14" t="str">
        <x:v>span_misaligned;meaning_changed</x:v>
      </x:c>
      <x:c r="K343" s="14" t="str">
        <x:v>span_misaligned;meaning_changed</x:v>
      </x:c>
    </x:row>
    <x:row r="344">
      <x:c r="A344" t="str">
        <x:v>a2_new_minus_old_on_new_a1</x:v>
      </x:c>
      <x:c r="B344" t="str">
        <x:f>"qid:-4286108617234818000"</x:f>
        <x:v>qid:-4286108617234818000</x:v>
      </x:c>
      <x:c r="C344" s="14" t="str">
        <x:v>When does the new super troopers movie come out?</x:v>
      </x:c>
      <x:c r="D344" s="14" t="str">
        <x:v>self_contained</x:v>
      </x:c>
      <x:c r="E344" s="14" t="str">
        <x:v>Super Troopers 2 was released on April 20, 2018.</x:v>
      </x:c>
      <x:c r="F344" s="14" t="str">
        <x:v>on April 20, 2018</x:v>
      </x:c>
      <x:c r="G344" s="14" t="n">
        <x:v>1</x:v>
      </x:c>
      <x:c r="H344" s="14" t="n">
        <x:v>1</x:v>
      </x:c>
      <x:c r="I344" s="53" t="b">
        <x:v>1</x:v>
      </x:c>
      <x:c r="J344" s="14" t="str">
        <x:v>span_misaligned;meaning_changed</x:v>
      </x:c>
      <x:c r="K344" s="14" t="str">
        <x:v>span_misaligned;meaning_changed</x:v>
      </x:c>
    </x:row>
    <x:row r="345">
      <x:c r="A345" t="str">
        <x:v>a2_new_minus_old_on_new_a1</x:v>
      </x:c>
      <x:c r="B345" t="str">
        <x:f>"qid:-4286108617234818000"</x:f>
        <x:v>qid:-4286108617234818000</x:v>
      </x:c>
      <x:c r="C345" s="14" t="str">
        <x:v>When does the new super troopers movie come out?</x:v>
      </x:c>
      <x:c r="D345" s="14" t="str">
        <x:v>span_aligned</x:v>
      </x:c>
      <x:c r="E345" s="14" t="str">
        <x:v>Super Troopers 2 was released on April 20, 2018.</x:v>
      </x:c>
      <x:c r="F345" s="14" t="str">
        <x:v>on April 20, 2018</x:v>
      </x:c>
      <x:c r="G345" s="14" t="n">
        <x:v>0</x:v>
      </x:c>
      <x:c r="H345" s="14" t="n">
        <x:v>0</x:v>
      </x:c>
      <x:c r="I345" s="53" t="b">
        <x:v>1</x:v>
      </x:c>
      <x:c r="J345" s="14" t="str">
        <x:v>span_misaligned;meaning_changed</x:v>
      </x:c>
      <x:c r="K345" s="14" t="str">
        <x:v>span_misaligned;meaning_changed</x:v>
      </x:c>
    </x:row>
    <x:row r="346">
      <x:c r="A346" t="str">
        <x:v>a2_new_minus_old_on_new_a1</x:v>
      </x:c>
      <x:c r="B346" t="str">
        <x:f>"qid:-4286108617234818000"</x:f>
        <x:v>qid:-4286108617234818000</x:v>
      </x:c>
      <x:c r="C346" s="14" t="str">
        <x:v>When does the new super troopers movie come out?</x:v>
      </x:c>
      <x:c r="D346" s="14" t="str">
        <x:v>rewrite_faithful</x:v>
      </x:c>
      <x:c r="E346" s="14" t="str">
        <x:v>Super Troopers 2 was released on April 20, 2018.</x:v>
      </x:c>
      <x:c r="F346" s="14" t="str">
        <x:v>on April 20, 2018</x:v>
      </x:c>
      <x:c r="G346" s="14" t="n">
        <x:v>0</x:v>
      </x:c>
      <x:c r="H346" s="14" t="n">
        <x:v>0</x:v>
      </x:c>
      <x:c r="I346" s="53" t="b">
        <x:v>1</x:v>
      </x:c>
      <x:c r="J346" s="14" t="str">
        <x:v>span_misaligned;meaning_changed</x:v>
      </x:c>
      <x:c r="K346" s="14" t="str">
        <x:v>span_misaligned;meaning_changed</x:v>
      </x:c>
    </x:row>
    <x:row r="347">
      <x:c r="A347" t="str">
        <x:v>a2_new_minus_old_on_new_a1</x:v>
      </x:c>
      <x:c r="B347" t="str">
        <x:f>"qid:-4456614433280196572"</x:f>
        <x:v>qid:-4456614433280196572</x:v>
      </x:c>
      <x:c r="C347" s="14" t="str">
        <x:v>What season does meredith and derek get married in grey's anatomy?</x:v>
      </x:c>
      <x:c r="D347" s="14" t="str">
        <x:v>atomic</x:v>
      </x:c>
      <x:c r="E347" s="14" t="str">
        <x:v>Meredith and Derek are married in the fifth season of the show.</x:v>
      </x:c>
      <x:c r="F347" s="14" t="str">
        <x:v>Meredith and Derek get married in season five [3].</x:v>
      </x:c>
      <x:c r="G347" s="14" t="n">
        <x:v>1</x:v>
      </x:c>
      <x:c r="H347" s="14" t="n">
        <x:v>1</x:v>
      </x:c>
      <x:c r="I347" s="53" t="b">
        <x:v>1</x:v>
      </x:c>
      <x:c r="J347" s="14" t="str"/>
      <x:c r="K347" s="14" t="str"/>
    </x:row>
    <x:row r="348">
      <x:c r="A348" t="str">
        <x:v>a2_new_minus_old_on_new_a1</x:v>
      </x:c>
      <x:c r="B348" t="str">
        <x:f>"qid:-4456614433280196572"</x:f>
        <x:v>qid:-4456614433280196572</x:v>
      </x:c>
      <x:c r="C348" s="14" t="str">
        <x:v>What season does meredith and derek get married in grey's anatomy?</x:v>
      </x:c>
      <x:c r="D348" s="14" t="str">
        <x:v>self_contained</x:v>
      </x:c>
      <x:c r="E348" s="14" t="str">
        <x:v>Meredith and Derek are married in the fifth season of the show.</x:v>
      </x:c>
      <x:c r="F348" s="14" t="str">
        <x:v>Meredith and Derek get married in season five [3].</x:v>
      </x:c>
      <x:c r="G348" s="14" t="n">
        <x:v>1</x:v>
      </x:c>
      <x:c r="H348" s="14" t="n">
        <x:v>1</x:v>
      </x:c>
      <x:c r="I348" s="53" t="b">
        <x:v>1</x:v>
      </x:c>
      <x:c r="J348" s="14" t="str"/>
      <x:c r="K348" s="14" t="str"/>
    </x:row>
    <x:row r="349">
      <x:c r="A349" t="str">
        <x:v>a2_new_minus_old_on_new_a1</x:v>
      </x:c>
      <x:c r="B349" t="str">
        <x:f>"qid:-4456614433280196572"</x:f>
        <x:v>qid:-4456614433280196572</x:v>
      </x:c>
      <x:c r="C349" s="14" t="str">
        <x:v>What season does meredith and derek get married in grey's anatomy?</x:v>
      </x:c>
      <x:c r="D349" s="14" t="str">
        <x:v>span_aligned</x:v>
      </x:c>
      <x:c r="E349" s="14" t="str">
        <x:v>Meredith and Derek are married in the fifth season of the show.</x:v>
      </x:c>
      <x:c r="F349" s="14" t="str">
        <x:v>Meredith and Derek get married in season five [3].</x:v>
      </x:c>
      <x:c r="G349" s="14" t="n">
        <x:v>1</x:v>
      </x:c>
      <x:c r="H349" s="14" t="n">
        <x:v>1</x:v>
      </x:c>
      <x:c r="I349" s="53" t="b">
        <x:v>1</x:v>
      </x:c>
      <x:c r="J349" s="14" t="str"/>
      <x:c r="K349" s="14" t="str"/>
    </x:row>
    <x:row r="350">
      <x:c r="A350" t="str">
        <x:v>a2_new_minus_old_on_new_a1</x:v>
      </x:c>
      <x:c r="B350" t="str">
        <x:f>"qid:-4456614433280196572"</x:f>
        <x:v>qid:-4456614433280196572</x:v>
      </x:c>
      <x:c r="C350" s="14" t="str">
        <x:v>What season does meredith and derek get married in grey's anatomy?</x:v>
      </x:c>
      <x:c r="D350" s="14" t="str">
        <x:v>rewrite_faithful</x:v>
      </x:c>
      <x:c r="E350" s="14" t="str">
        <x:v>Meredith and Derek are married in the fifth season of the show.</x:v>
      </x:c>
      <x:c r="F350" s="14" t="str">
        <x:v>Meredith and Derek get married in season five [3].</x:v>
      </x:c>
      <x:c r="G350" s="14" t="n">
        <x:v>1</x:v>
      </x:c>
      <x:c r="H350" s="14" t="n">
        <x:v>1</x:v>
      </x:c>
      <x:c r="I350" s="53" t="b">
        <x:v>1</x:v>
      </x:c>
      <x:c r="J350" s="14" t="str"/>
      <x:c r="K350" s="14" t="str"/>
    </x:row>
    <x:row r="351">
      <x:c r="A351" t="str">
        <x:v>a2_new_minus_old_on_new_a1</x:v>
      </x:c>
      <x:c r="B351" t="str">
        <x:f>"qid:-447198893588059167"</x:f>
        <x:v>qid:-447198893588059167</x:v>
      </x:c>
      <x:c r="C351" s="14" t="str">
        <x:v>Who played the father in leave it to beaver?</x:v>
      </x:c>
      <x:c r="D351" s="14" t="str">
        <x:v>atomic</x:v>
      </x:c>
      <x:c r="E351" s="14" t="str">
        <x:v>Hugh Beaumont portrayed the character Ward Cleaver in the television series "Leave It to Beaver".</x:v>
      </x:c>
      <x:c r="F351" s="14" t="str">
        <x:v>Hugh Beaumont played the father, Ward Cleaver, in "Leave It to Beaver"</x:v>
      </x:c>
      <x:c r="G351" s="14" t="n">
        <x:v>1</x:v>
      </x:c>
      <x:c r="H351" s="14" t="n">
        <x:v>1</x:v>
      </x:c>
      <x:c r="I351" s="53" t="b">
        <x:v>1</x:v>
      </x:c>
      <x:c r="J351" s="14" t="str"/>
      <x:c r="K351" s="14" t="str"/>
    </x:row>
    <x:row r="352">
      <x:c r="A352" t="str">
        <x:v>a2_new_minus_old_on_new_a1</x:v>
      </x:c>
      <x:c r="B352" t="str">
        <x:f>"qid:-447198893588059167"</x:f>
        <x:v>qid:-447198893588059167</x:v>
      </x:c>
      <x:c r="C352" s="14" t="str">
        <x:v>Who played the father in leave it to beaver?</x:v>
      </x:c>
      <x:c r="D352" s="14" t="str">
        <x:v>self_contained</x:v>
      </x:c>
      <x:c r="E352" s="14" t="str">
        <x:v>Hugh Beaumont portrayed the character Ward Cleaver in the television series "Leave It to Beaver".</x:v>
      </x:c>
      <x:c r="F352" s="14" t="str">
        <x:v>Hugh Beaumont played the father, Ward Cleaver, in "Leave It to Beaver"</x:v>
      </x:c>
      <x:c r="G352" s="14" t="n">
        <x:v>1</x:v>
      </x:c>
      <x:c r="H352" s="14" t="n">
        <x:v>1</x:v>
      </x:c>
      <x:c r="I352" s="53" t="b">
        <x:v>1</x:v>
      </x:c>
      <x:c r="J352" s="14" t="str"/>
      <x:c r="K352" s="14" t="str"/>
    </x:row>
    <x:row r="353">
      <x:c r="A353" t="str">
        <x:v>a2_new_minus_old_on_new_a1</x:v>
      </x:c>
      <x:c r="B353" t="str">
        <x:f>"qid:-447198893588059167"</x:f>
        <x:v>qid:-447198893588059167</x:v>
      </x:c>
      <x:c r="C353" s="14" t="str">
        <x:v>Who played the father in leave it to beaver?</x:v>
      </x:c>
      <x:c r="D353" s="14" t="str">
        <x:v>span_aligned</x:v>
      </x:c>
      <x:c r="E353" s="14" t="str">
        <x:v>Hugh Beaumont portrayed the character Ward Cleaver in the television series "Leave It to Beaver".</x:v>
      </x:c>
      <x:c r="F353" s="14" t="str">
        <x:v>Hugh Beaumont played the father, Ward Cleaver, in "Leave It to Beaver"</x:v>
      </x:c>
      <x:c r="G353" s="14" t="n">
        <x:v>1</x:v>
      </x:c>
      <x:c r="H353" s="14" t="n">
        <x:v>1</x:v>
      </x:c>
      <x:c r="I353" s="53" t="b">
        <x:v>1</x:v>
      </x:c>
      <x:c r="J353" s="14" t="str"/>
      <x:c r="K353" s="14" t="str"/>
    </x:row>
    <x:row r="354">
      <x:c r="A354" t="str">
        <x:v>a2_new_minus_old_on_new_a1</x:v>
      </x:c>
      <x:c r="B354" t="str">
        <x:f>"qid:-447198893588059167"</x:f>
        <x:v>qid:-447198893588059167</x:v>
      </x:c>
      <x:c r="C354" s="14" t="str">
        <x:v>Who played the father in leave it to beaver?</x:v>
      </x:c>
      <x:c r="D354" s="14" t="str">
        <x:v>rewrite_faithful</x:v>
      </x:c>
      <x:c r="E354" s="14" t="str">
        <x:v>Hugh Beaumont portrayed the character Ward Cleaver in the television series "Leave It to Beaver".</x:v>
      </x:c>
      <x:c r="F354" s="14" t="str">
        <x:v>Hugh Beaumont played the father, Ward Cleaver, in "Leave It to Beaver"</x:v>
      </x:c>
      <x:c r="G354" s="14" t="n">
        <x:v>1</x:v>
      </x:c>
      <x:c r="H354" s="14" t="n">
        <x:v>1</x:v>
      </x:c>
      <x:c r="I354" s="53" t="b">
        <x:v>1</x:v>
      </x:c>
      <x:c r="J354" s="14" t="str"/>
      <x:c r="K354" s="14" t="str"/>
    </x:row>
    <x:row r="355">
      <x:c r="A355" t="str">
        <x:v>a2_new_minus_old_on_new_a1</x:v>
      </x:c>
      <x:c r="B355" t="str">
        <x:f>"qid:-4649654703638364295"</x:f>
        <x:v>qid:-4649654703638364295</x:v>
      </x:c>
      <x:c r="C355" s="14" t="str">
        <x:v>Who made it through the divisional finals world of dance?</x:v>
      </x:c>
      <x:c r="D355" s="14" t="str">
        <x:v>atomic</x:v>
      </x:c>
      <x:c r="E355" s="14" t="str">
        <x:v>The Lab team participated in and advanced to the divisional finals stage of the World of Dance competition.</x:v>
      </x:c>
      <x:c r="F355" s="14" t="str">
        <x:v>The Lab made it through the divisional finals of World of Dance</x:v>
      </x:c>
      <x:c r="G355" s="14" t="n">
        <x:v>1</x:v>
      </x:c>
      <x:c r="H355" s="14" t="n">
        <x:v>1</x:v>
      </x:c>
      <x:c r="I355" s="53" t="b">
        <x:v>1</x:v>
      </x:c>
      <x:c r="J355" s="14" t="str"/>
      <x:c r="K355" s="14" t="str"/>
    </x:row>
    <x:row r="356">
      <x:c r="A356" t="str">
        <x:v>a2_new_minus_old_on_new_a1</x:v>
      </x:c>
      <x:c r="B356" t="str">
        <x:f>"qid:-4649654703638364295"</x:f>
        <x:v>qid:-4649654703638364295</x:v>
      </x:c>
      <x:c r="C356" s="14" t="str">
        <x:v>Who made it through the divisional finals world of dance?</x:v>
      </x:c>
      <x:c r="D356" s="14" t="str">
        <x:v>self_contained</x:v>
      </x:c>
      <x:c r="E356" s="14" t="str">
        <x:v>The Lab team participated in and advanced to the divisional finals stage of the World of Dance competition.</x:v>
      </x:c>
      <x:c r="F356" s="14" t="str">
        <x:v>The Lab made it through the divisional finals of World of Dance</x:v>
      </x:c>
      <x:c r="G356" s="14" t="n">
        <x:v>1</x:v>
      </x:c>
      <x:c r="H356" s="14" t="n">
        <x:v>1</x:v>
      </x:c>
      <x:c r="I356" s="53" t="b">
        <x:v>1</x:v>
      </x:c>
      <x:c r="J356" s="14" t="str"/>
      <x:c r="K356" s="14" t="str"/>
    </x:row>
    <x:row r="357">
      <x:c r="A357" t="str">
        <x:v>a2_new_minus_old_on_new_a1</x:v>
      </x:c>
      <x:c r="B357" t="str">
        <x:f>"qid:-4649654703638364295"</x:f>
        <x:v>qid:-4649654703638364295</x:v>
      </x:c>
      <x:c r="C357" s="14" t="str">
        <x:v>Who made it through the divisional finals world of dance?</x:v>
      </x:c>
      <x:c r="D357" s="14" t="str">
        <x:v>span_aligned</x:v>
      </x:c>
      <x:c r="E357" s="14" t="str">
        <x:v>The Lab team participated in and advanced to the divisional finals stage of the World of Dance competition.</x:v>
      </x:c>
      <x:c r="F357" s="14" t="str">
        <x:v>The Lab made it through the divisional finals of World of Dance</x:v>
      </x:c>
      <x:c r="G357" s="14" t="n">
        <x:v>1</x:v>
      </x:c>
      <x:c r="H357" s="14" t="n">
        <x:v>1</x:v>
      </x:c>
      <x:c r="I357" s="53" t="b">
        <x:v>1</x:v>
      </x:c>
      <x:c r="J357" s="14" t="str"/>
      <x:c r="K357" s="14" t="str"/>
    </x:row>
    <x:row r="358">
      <x:c r="A358" t="str">
        <x:v>a2_new_minus_old_on_new_a1</x:v>
      </x:c>
      <x:c r="B358" t="str">
        <x:f>"qid:-4649654703638364295"</x:f>
        <x:v>qid:-4649654703638364295</x:v>
      </x:c>
      <x:c r="C358" s="14" t="str">
        <x:v>Who made it through the divisional finals world of dance?</x:v>
      </x:c>
      <x:c r="D358" s="14" t="str">
        <x:v>rewrite_faithful</x:v>
      </x:c>
      <x:c r="E358" s="14" t="str">
        <x:v>The Lab team participated in and advanced to the divisional finals stage of the World of Dance competition.</x:v>
      </x:c>
      <x:c r="F358" s="14" t="str">
        <x:v>The Lab made it through the divisional finals of World of Dance</x:v>
      </x:c>
      <x:c r="G358" s="14" t="n">
        <x:v>1</x:v>
      </x:c>
      <x:c r="H358" s="14" t="n">
        <x:v>1</x:v>
      </x:c>
      <x:c r="I358" s="53" t="b">
        <x:v>1</x:v>
      </x:c>
      <x:c r="J358" s="14" t="str"/>
      <x:c r="K358" s="14" t="str"/>
    </x:row>
    <x:row r="359">
      <x:c r="A359" t="str">
        <x:v>a2_new_minus_old_on_new_a1</x:v>
      </x:c>
      <x:c r="B359" t="str">
        <x:f>"qid:-4873786835306543030"</x:f>
        <x:v>qid:-4873786835306543030</x:v>
      </x:c>
      <x:c r="C359" s="14" t="str">
        <x:v>Who is the chief minister of m. p?</x:v>
      </x:c>
      <x:c r="D359" s="14" t="str">
        <x:v>atomic</x:v>
      </x:c>
      <x:c r="E359" s="14" t="str">
        <x:v>Captain Amarinder Singh holds the office of Chief Minister for the state of Punjab.</x:v>
      </x:c>
      <x:c r="F359" s="14" t="str">
        <x:v>Captain Amarinder Singh is the Chief Minister of Punjab</x:v>
      </x:c>
      <x:c r="G359" s="14" t="n">
        <x:v>1</x:v>
      </x:c>
      <x:c r="H359" s="14" t="n">
        <x:v>1</x:v>
      </x:c>
      <x:c r="I359" s="53" t="b">
        <x:v>1</x:v>
      </x:c>
      <x:c r="J359" s="14" t="str"/>
      <x:c r="K359" s="14" t="str"/>
    </x:row>
    <x:row r="360">
      <x:c r="A360" t="str">
        <x:v>a2_new_minus_old_on_new_a1</x:v>
      </x:c>
      <x:c r="B360" t="str">
        <x:f>"qid:-4873786835306543030"</x:f>
        <x:v>qid:-4873786835306543030</x:v>
      </x:c>
      <x:c r="C360" s="14" t="str">
        <x:v>Who is the chief minister of m. p?</x:v>
      </x:c>
      <x:c r="D360" s="14" t="str">
        <x:v>self_contained</x:v>
      </x:c>
      <x:c r="E360" s="14" t="str">
        <x:v>Captain Amarinder Singh holds the office of Chief Minister for the state of Punjab.</x:v>
      </x:c>
      <x:c r="F360" s="14" t="str">
        <x:v>Captain Amarinder Singh is the Chief Minister of Punjab</x:v>
      </x:c>
      <x:c r="G360" s="14" t="n">
        <x:v>1</x:v>
      </x:c>
      <x:c r="H360" s="14" t="n">
        <x:v>1</x:v>
      </x:c>
      <x:c r="I360" s="53" t="b">
        <x:v>1</x:v>
      </x:c>
      <x:c r="J360" s="14" t="str"/>
      <x:c r="K360" s="14" t="str"/>
    </x:row>
    <x:row r="361">
      <x:c r="A361" t="str">
        <x:v>a2_new_minus_old_on_new_a1</x:v>
      </x:c>
      <x:c r="B361" t="str">
        <x:f>"qid:-4873786835306543030"</x:f>
        <x:v>qid:-4873786835306543030</x:v>
      </x:c>
      <x:c r="C361" s="14" t="str">
        <x:v>Who is the chief minister of m. p?</x:v>
      </x:c>
      <x:c r="D361" s="14" t="str">
        <x:v>span_aligned</x:v>
      </x:c>
      <x:c r="E361" s="14" t="str">
        <x:v>Captain Amarinder Singh holds the office of Chief Minister for the state of Punjab.</x:v>
      </x:c>
      <x:c r="F361" s="14" t="str">
        <x:v>Captain Amarinder Singh is the Chief Minister of Punjab</x:v>
      </x:c>
      <x:c r="G361" s="14" t="n">
        <x:v>1</x:v>
      </x:c>
      <x:c r="H361" s="14" t="n">
        <x:v>1</x:v>
      </x:c>
      <x:c r="I361" s="53" t="b">
        <x:v>1</x:v>
      </x:c>
      <x:c r="J361" s="14" t="str"/>
      <x:c r="K361" s="14" t="str"/>
    </x:row>
    <x:row r="362">
      <x:c r="A362" t="str">
        <x:v>a2_new_minus_old_on_new_a1</x:v>
      </x:c>
      <x:c r="B362" t="str">
        <x:f>"qid:-4873786835306543030"</x:f>
        <x:v>qid:-4873786835306543030</x:v>
      </x:c>
      <x:c r="C362" s="14" t="str">
        <x:v>Who is the chief minister of m. p?</x:v>
      </x:c>
      <x:c r="D362" s="14" t="str">
        <x:v>rewrite_faithful</x:v>
      </x:c>
      <x:c r="E362" s="14" t="str">
        <x:v>Captain Amarinder Singh holds the office of Chief Minister for the state of Punjab.</x:v>
      </x:c>
      <x:c r="F362" s="14" t="str">
        <x:v>Captain Amarinder Singh is the Chief Minister of Punjab</x:v>
      </x:c>
      <x:c r="G362" s="14" t="n">
        <x:v>1</x:v>
      </x:c>
      <x:c r="H362" s="14" t="n">
        <x:v>1</x:v>
      </x:c>
      <x:c r="I362" s="53" t="b">
        <x:v>1</x:v>
      </x:c>
      <x:c r="J362" s="14" t="str"/>
      <x:c r="K362" s="14" t="str"/>
    </x:row>
    <x:row r="363">
      <x:c r="A363" t="str">
        <x:v>a2_new_minus_old_on_new_a1</x:v>
      </x:c>
      <x:c r="B363" t="str">
        <x:f>"qid:-4995398567532229571"</x:f>
        <x:v>qid:-4995398567532229571</x:v>
      </x:c>
      <x:c r="C363" s="14" t="str">
        <x:v>When did ragtime flourished in the united states?</x:v>
      </x:c>
      <x:c r="D363" s="14" t="str">
        <x:v>atomic</x:v>
      </x:c>
      <x:c r="E363" s="14" t="str">
        <x:v>Ragtime was a popular musical genre in the United States during the late 19th century, emerging and gaining prominence from around the 1890s.</x:v>
      </x:c>
      <x:c r="F363" s="14" t="str">
        <x:v>Ragtime flourished in the United States during the late 19th century, from around the 1890s onward</x:v>
      </x:c>
      <x:c r="G363" s="14" t="n">
        <x:v>1</x:v>
      </x:c>
      <x:c r="H363" s="14" t="n">
        <x:v>1</x:v>
      </x:c>
      <x:c r="I363" s="53" t="b">
        <x:v>1</x:v>
      </x:c>
      <x:c r="J363" s="14" t="str"/>
      <x:c r="K363" s="14" t="str"/>
    </x:row>
    <x:row r="364">
      <x:c r="A364" t="str">
        <x:v>a2_new_minus_old_on_new_a1</x:v>
      </x:c>
      <x:c r="B364" t="str">
        <x:f>"qid:-4995398567532229571"</x:f>
        <x:v>qid:-4995398567532229571</x:v>
      </x:c>
      <x:c r="C364" s="14" t="str">
        <x:v>When did ragtime flourished in the united states?</x:v>
      </x:c>
      <x:c r="D364" s="14" t="str">
        <x:v>self_contained</x:v>
      </x:c>
      <x:c r="E364" s="14" t="str">
        <x:v>Ragtime was a popular musical genre in the United States during the late 19th century, emerging and gaining prominence from around the 1890s.</x:v>
      </x:c>
      <x:c r="F364" s="14" t="str">
        <x:v>Ragtime flourished in the United States during the late 19th century, from around the 1890s onward</x:v>
      </x:c>
      <x:c r="G364" s="14" t="n">
        <x:v>1</x:v>
      </x:c>
      <x:c r="H364" s="14" t="n">
        <x:v>1</x:v>
      </x:c>
      <x:c r="I364" s="53" t="b">
        <x:v>1</x:v>
      </x:c>
      <x:c r="J364" s="14" t="str"/>
      <x:c r="K364" s="14" t="str"/>
    </x:row>
    <x:row r="365">
      <x:c r="A365" t="str">
        <x:v>a2_new_minus_old_on_new_a1</x:v>
      </x:c>
      <x:c r="B365" t="str">
        <x:f>"qid:-4995398567532229571"</x:f>
        <x:v>qid:-4995398567532229571</x:v>
      </x:c>
      <x:c r="C365" s="14" t="str">
        <x:v>When did ragtime flourished in the united states?</x:v>
      </x:c>
      <x:c r="D365" s="14" t="str">
        <x:v>span_aligned</x:v>
      </x:c>
      <x:c r="E365" s="14" t="str">
        <x:v>Ragtime was a popular musical genre in the United States during the late 19th century, emerging and gaining prominence from around the 1890s.</x:v>
      </x:c>
      <x:c r="F365" s="14" t="str">
        <x:v>Ragtime flourished in the United States during the late 19th century, from around the 1890s onward</x:v>
      </x:c>
      <x:c r="G365" s="14" t="n">
        <x:v>1</x:v>
      </x:c>
      <x:c r="H365" s="14" t="n">
        <x:v>1</x:v>
      </x:c>
      <x:c r="I365" s="53" t="b">
        <x:v>1</x:v>
      </x:c>
      <x:c r="J365" s="14" t="str"/>
      <x:c r="K365" s="14" t="str"/>
    </x:row>
    <x:row r="366">
      <x:c r="A366" t="str">
        <x:v>a2_new_minus_old_on_new_a1</x:v>
      </x:c>
      <x:c r="B366" t="str">
        <x:f>"qid:-4995398567532229571"</x:f>
        <x:v>qid:-4995398567532229571</x:v>
      </x:c>
      <x:c r="C366" s="14" t="str">
        <x:v>When did ragtime flourished in the united states?</x:v>
      </x:c>
      <x:c r="D366" s="14" t="str">
        <x:v>rewrite_faithful</x:v>
      </x:c>
      <x:c r="E366" s="14" t="str">
        <x:v>Ragtime was a popular musical genre in the United States during the late 19th century, emerging and gaining prominence from around the 1890s.</x:v>
      </x:c>
      <x:c r="F366" s="14" t="str">
        <x:v>Ragtime flourished in the United States during the late 19th century, from around the 1890s onward</x:v>
      </x:c>
      <x:c r="G366" s="14" t="n">
        <x:v>1</x:v>
      </x:c>
      <x:c r="H366" s="14" t="n">
        <x:v>1</x:v>
      </x:c>
      <x:c r="I366" s="53" t="b">
        <x:v>1</x:v>
      </x:c>
      <x:c r="J366" s="14" t="str"/>
      <x:c r="K366" s="14" t="str"/>
    </x:row>
    <x:row r="367">
      <x:c r="A367" t="str">
        <x:v>a2_new_minus_old_on_new_a1</x:v>
      </x:c>
      <x:c r="B367" t="str">
        <x:f>"qid:-5036947181661390825"</x:f>
        <x:v>qid:-5036947181661390825</x:v>
      </x:c>
      <x:c r="C367" s="14" t="str">
        <x:v>When was the vietnam veterans war memorial built?</x:v>
      </x:c>
      <x:c r="D367" s="14" t="str">
        <x:v>atomic</x:v>
      </x:c>
      <x:c r="E367" s="14" t="str">
        <x:v>The Vietnam Veterans Memorial was built between March 16, 1982, and late October 1982.</x:v>
      </x:c>
      <x:c r="F367" s="14" t="str">
        <x:v>The Vietnam Veterans Memorial was constructed from March 16, 1982, to late October 1982</x:v>
      </x:c>
      <x:c r="G367" s="14" t="n">
        <x:v>1</x:v>
      </x:c>
      <x:c r="H367" s="14" t="n">
        <x:v>1</x:v>
      </x:c>
      <x:c r="I367" s="53" t="b">
        <x:v>1</x:v>
      </x:c>
      <x:c r="J367" s="14" t="str"/>
      <x:c r="K367" s="14" t="str"/>
    </x:row>
    <x:row r="368">
      <x:c r="A368" t="str">
        <x:v>a2_new_minus_old_on_new_a1</x:v>
      </x:c>
      <x:c r="B368" t="str">
        <x:f>"qid:-5036947181661390825"</x:f>
        <x:v>qid:-5036947181661390825</x:v>
      </x:c>
      <x:c r="C368" s="14" t="str">
        <x:v>When was the vietnam veterans war memorial built?</x:v>
      </x:c>
      <x:c r="D368" s="14" t="str">
        <x:v>self_contained</x:v>
      </x:c>
      <x:c r="E368" s="14" t="str">
        <x:v>The Vietnam Veterans Memorial was built between March 16, 1982, and late October 1982.</x:v>
      </x:c>
      <x:c r="F368" s="14" t="str">
        <x:v>The Vietnam Veterans Memorial was constructed from March 16, 1982, to late October 1982</x:v>
      </x:c>
      <x:c r="G368" s="14" t="n">
        <x:v>1</x:v>
      </x:c>
      <x:c r="H368" s="14" t="n">
        <x:v>1</x:v>
      </x:c>
      <x:c r="I368" s="53" t="b">
        <x:v>1</x:v>
      </x:c>
      <x:c r="J368" s="14" t="str"/>
      <x:c r="K368" s="14" t="str"/>
    </x:row>
    <x:row r="369">
      <x:c r="A369" t="str">
        <x:v>a2_new_minus_old_on_new_a1</x:v>
      </x:c>
      <x:c r="B369" t="str">
        <x:f>"qid:-5036947181661390825"</x:f>
        <x:v>qid:-5036947181661390825</x:v>
      </x:c>
      <x:c r="C369" s="14" t="str">
        <x:v>When was the vietnam veterans war memorial built?</x:v>
      </x:c>
      <x:c r="D369" s="14" t="str">
        <x:v>span_aligned</x:v>
      </x:c>
      <x:c r="E369" s="14" t="str">
        <x:v>The Vietnam Veterans Memorial was built between March 16, 1982, and late October 1982.</x:v>
      </x:c>
      <x:c r="F369" s="14" t="str">
        <x:v>The Vietnam Veterans Memorial was constructed from March 16, 1982, to late October 1982</x:v>
      </x:c>
      <x:c r="G369" s="14" t="n">
        <x:v>1</x:v>
      </x:c>
      <x:c r="H369" s="14" t="n">
        <x:v>1</x:v>
      </x:c>
      <x:c r="I369" s="53" t="b">
        <x:v>1</x:v>
      </x:c>
      <x:c r="J369" s="14" t="str"/>
      <x:c r="K369" s="14" t="str"/>
    </x:row>
    <x:row r="370">
      <x:c r="A370" t="str">
        <x:v>a2_new_minus_old_on_new_a1</x:v>
      </x:c>
      <x:c r="B370" t="str">
        <x:f>"qid:-5036947181661390825"</x:f>
        <x:v>qid:-5036947181661390825</x:v>
      </x:c>
      <x:c r="C370" s="14" t="str">
        <x:v>When was the vietnam veterans war memorial built?</x:v>
      </x:c>
      <x:c r="D370" s="14" t="str">
        <x:v>rewrite_faithful</x:v>
      </x:c>
      <x:c r="E370" s="14" t="str">
        <x:v>The Vietnam Veterans Memorial was built between March 16, 1982, and late October 1982.</x:v>
      </x:c>
      <x:c r="F370" s="14" t="str">
        <x:v>The Vietnam Veterans Memorial was constructed from March 16, 1982, to late October 1982</x:v>
      </x:c>
      <x:c r="G370" s="14" t="n">
        <x:v>1</x:v>
      </x:c>
      <x:c r="H370" s="14" t="n">
        <x:v>1</x:v>
      </x:c>
      <x:c r="I370" s="53" t="b">
        <x:v>1</x:v>
      </x:c>
      <x:c r="J370" s="14" t="str"/>
      <x:c r="K370" s="14" t="str"/>
    </x:row>
    <x:row r="371">
      <x:c r="A371" t="str">
        <x:v>a2_new_minus_old_on_new_a1</x:v>
      </x:c>
      <x:c r="B371" t="str">
        <x:f>"qid:-5116644172939113883"</x:f>
        <x:v>qid:-5116644172939113883</x:v>
      </x:c>
      <x:c r="C371" s="14" t="str">
        <x:v>Who raps in the gorillaz song clint eastwood?</x:v>
      </x:c>
      <x:c r="D371" s="14" t="str">
        <x:v>atomic</x:v>
      </x:c>
      <x:c r="E371" s="14" t="str">
        <x:v>Del the Funky Homosapien performed the rap verses for the Gorillaz song "Clint Eastwood".</x:v>
      </x:c>
      <x:c r="F371" s="14" t="str">
        <x:v>Del the Funky Homosapien raps the verses in the Gorillaz song "Clint Eastwood"</x:v>
      </x:c>
      <x:c r="G371" s="14" t="n">
        <x:v>1</x:v>
      </x:c>
      <x:c r="H371" s="14" t="n">
        <x:v>1</x:v>
      </x:c>
      <x:c r="I371" s="53" t="b">
        <x:v>1</x:v>
      </x:c>
      <x:c r="J371" s="14" t="str"/>
      <x:c r="K371" s="14" t="str"/>
    </x:row>
    <x:row r="372">
      <x:c r="A372" t="str">
        <x:v>a2_new_minus_old_on_new_a1</x:v>
      </x:c>
      <x:c r="B372" t="str">
        <x:f>"qid:-5116644172939113883"</x:f>
        <x:v>qid:-5116644172939113883</x:v>
      </x:c>
      <x:c r="C372" s="14" t="str">
        <x:v>Who raps in the gorillaz song clint eastwood?</x:v>
      </x:c>
      <x:c r="D372" s="14" t="str">
        <x:v>self_contained</x:v>
      </x:c>
      <x:c r="E372" s="14" t="str">
        <x:v>Del the Funky Homosapien performed the rap verses for the Gorillaz song "Clint Eastwood".</x:v>
      </x:c>
      <x:c r="F372" s="14" t="str">
        <x:v>Del the Funky Homosapien raps the verses in the Gorillaz song "Clint Eastwood"</x:v>
      </x:c>
      <x:c r="G372" s="14" t="n">
        <x:v>1</x:v>
      </x:c>
      <x:c r="H372" s="14" t="n">
        <x:v>1</x:v>
      </x:c>
      <x:c r="I372" s="53" t="b">
        <x:v>1</x:v>
      </x:c>
      <x:c r="J372" s="14" t="str"/>
      <x:c r="K372" s="14" t="str"/>
    </x:row>
    <x:row r="373">
      <x:c r="A373" t="str">
        <x:v>a2_new_minus_old_on_new_a1</x:v>
      </x:c>
      <x:c r="B373" t="str">
        <x:f>"qid:-5116644172939113883"</x:f>
        <x:v>qid:-5116644172939113883</x:v>
      </x:c>
      <x:c r="C373" s="14" t="str">
        <x:v>Who raps in the gorillaz song clint eastwood?</x:v>
      </x:c>
      <x:c r="D373" s="14" t="str">
        <x:v>span_aligned</x:v>
      </x:c>
      <x:c r="E373" s="14" t="str">
        <x:v>Del the Funky Homosapien performed the rap verses for the Gorillaz song "Clint Eastwood".</x:v>
      </x:c>
      <x:c r="F373" s="14" t="str">
        <x:v>Del the Funky Homosapien raps the verses in the Gorillaz song "Clint Eastwood"</x:v>
      </x:c>
      <x:c r="G373" s="14" t="n">
        <x:v>1</x:v>
      </x:c>
      <x:c r="H373" s="14" t="n">
        <x:v>1</x:v>
      </x:c>
      <x:c r="I373" s="53" t="b">
        <x:v>1</x:v>
      </x:c>
      <x:c r="J373" s="14" t="str"/>
      <x:c r="K373" s="14" t="str"/>
    </x:row>
    <x:row r="374">
      <x:c r="A374" t="str">
        <x:v>a2_new_minus_old_on_new_a1</x:v>
      </x:c>
      <x:c r="B374" t="str">
        <x:f>"qid:-5116644172939113883"</x:f>
        <x:v>qid:-5116644172939113883</x:v>
      </x:c>
      <x:c r="C374" s="14" t="str">
        <x:v>Who raps in the gorillaz song clint eastwood?</x:v>
      </x:c>
      <x:c r="D374" s="14" t="str">
        <x:v>rewrite_faithful</x:v>
      </x:c>
      <x:c r="E374" s="14" t="str">
        <x:v>Del the Funky Homosapien performed the rap verses for the Gorillaz song "Clint Eastwood".</x:v>
      </x:c>
      <x:c r="F374" s="14" t="str">
        <x:v>Del the Funky Homosapien raps the verses in the Gorillaz song "Clint Eastwood"</x:v>
      </x:c>
      <x:c r="G374" s="14" t="n">
        <x:v>1</x:v>
      </x:c>
      <x:c r="H374" s="14" t="n">
        <x:v>1</x:v>
      </x:c>
      <x:c r="I374" s="53" t="b">
        <x:v>1</x:v>
      </x:c>
      <x:c r="J374" s="14" t="str"/>
      <x:c r="K374" s="14" t="str"/>
    </x:row>
    <x:row r="375">
      <x:c r="A375" t="str">
        <x:v>a2_new_minus_old_on_new_a1</x:v>
      </x:c>
      <x:c r="B375" t="str">
        <x:f>"qid:-5333049627570569397"</x:f>
        <x:v>qid:-5333049627570569397</x:v>
      </x:c>
      <x:c r="C375" s="14" t="str">
        <x:v>When did the song can't touch this come out?</x:v>
      </x:c>
      <x:c r="D375" s="14" t="str">
        <x:v>atomic</x:v>
      </x:c>
      <x:c r="E375" s="14" t="str">
        <x:v>"U Can't Touch This" was released on February 12, 1990.</x:v>
      </x:c>
      <x:c r="F375" s="14" t="str">
        <x:v>The song "U Can't Touch This" came out on February 12, 1990</x:v>
      </x:c>
      <x:c r="G375" s="14" t="n">
        <x:v>1</x:v>
      </x:c>
      <x:c r="H375" s="14" t="n">
        <x:v>1</x:v>
      </x:c>
      <x:c r="I375" s="53" t="b">
        <x:v>1</x:v>
      </x:c>
      <x:c r="J375" s="14" t="str"/>
      <x:c r="K375" s="14" t="str"/>
    </x:row>
    <x:row r="376">
      <x:c r="A376" t="str">
        <x:v>a2_new_minus_old_on_new_a1</x:v>
      </x:c>
      <x:c r="B376" t="str">
        <x:f>"qid:-5333049627570569397"</x:f>
        <x:v>qid:-5333049627570569397</x:v>
      </x:c>
      <x:c r="C376" s="14" t="str">
        <x:v>When did the song can't touch this come out?</x:v>
      </x:c>
      <x:c r="D376" s="14" t="str">
        <x:v>self_contained</x:v>
      </x:c>
      <x:c r="E376" s="14" t="str">
        <x:v>"U Can't Touch This" was released on February 12, 1990.</x:v>
      </x:c>
      <x:c r="F376" s="14" t="str">
        <x:v>The song "U Can't Touch This" came out on February 12, 1990</x:v>
      </x:c>
      <x:c r="G376" s="14" t="n">
        <x:v>1</x:v>
      </x:c>
      <x:c r="H376" s="14" t="n">
        <x:v>1</x:v>
      </x:c>
      <x:c r="I376" s="53" t="b">
        <x:v>1</x:v>
      </x:c>
      <x:c r="J376" s="14" t="str"/>
      <x:c r="K376" s="14" t="str"/>
    </x:row>
    <x:row r="377">
      <x:c r="A377" t="str">
        <x:v>a2_new_minus_old_on_new_a1</x:v>
      </x:c>
      <x:c r="B377" t="str">
        <x:f>"qid:-5333049627570569397"</x:f>
        <x:v>qid:-5333049627570569397</x:v>
      </x:c>
      <x:c r="C377" s="14" t="str">
        <x:v>When did the song can't touch this come out?</x:v>
      </x:c>
      <x:c r="D377" s="14" t="str">
        <x:v>span_aligned</x:v>
      </x:c>
      <x:c r="E377" s="14" t="str">
        <x:v>"U Can't Touch This" was released on February 12, 1990.</x:v>
      </x:c>
      <x:c r="F377" s="14" t="str">
        <x:v>The song "U Can't Touch This" came out on February 12, 1990</x:v>
      </x:c>
      <x:c r="G377" s="14" t="n">
        <x:v>1</x:v>
      </x:c>
      <x:c r="H377" s="14" t="n">
        <x:v>1</x:v>
      </x:c>
      <x:c r="I377" s="53" t="b">
        <x:v>1</x:v>
      </x:c>
      <x:c r="J377" s="14" t="str"/>
      <x:c r="K377" s="14" t="str"/>
    </x:row>
    <x:row r="378">
      <x:c r="A378" t="str">
        <x:v>a2_new_minus_old_on_new_a1</x:v>
      </x:c>
      <x:c r="B378" t="str">
        <x:f>"qid:-5333049627570569397"</x:f>
        <x:v>qid:-5333049627570569397</x:v>
      </x:c>
      <x:c r="C378" s="14" t="str">
        <x:v>When did the song can't touch this come out?</x:v>
      </x:c>
      <x:c r="D378" s="14" t="str">
        <x:v>rewrite_faithful</x:v>
      </x:c>
      <x:c r="E378" s="14" t="str">
        <x:v>"U Can't Touch This" was released on February 12, 1990.</x:v>
      </x:c>
      <x:c r="F378" s="14" t="str">
        <x:v>The song "U Can't Touch This" came out on February 12, 1990</x:v>
      </x:c>
      <x:c r="G378" s="14" t="n">
        <x:v>1</x:v>
      </x:c>
      <x:c r="H378" s="14" t="n">
        <x:v>1</x:v>
      </x:c>
      <x:c r="I378" s="53" t="b">
        <x:v>1</x:v>
      </x:c>
      <x:c r="J378" s="14" t="str"/>
      <x:c r="K378" s="14" t="str"/>
    </x:row>
    <x:row r="379">
      <x:c r="A379" t="str">
        <x:v>a2_new_minus_old_on_new_a1</x:v>
      </x:c>
      <x:c r="B379" t="str">
        <x:f>"qid:-5564120845047915486"</x:f>
        <x:v>qid:-5564120845047915486</x:v>
      </x:c>
      <x:c r="C379" s="14" t="str">
        <x:v>Where do you find a simple gear train?</x:v>
      </x:c>
      <x:c r="D379" s="14" t="str">
        <x:v>atomic</x:v>
      </x:c>
      <x:c r="E379" s="14" t="str">
        <x:v>The Antikythera mechanism, an ancient Greek device, contains a simple gear train.</x:v>
      </x:c>
      <x:c r="F379" s="14" t="str">
        <x:v>A simple gear train can be found in the Antikythera mechanism of Greece</x:v>
      </x:c>
      <x:c r="G379" s="14" t="n">
        <x:v>1</x:v>
      </x:c>
      <x:c r="H379" s="14" t="n">
        <x:v>1</x:v>
      </x:c>
      <x:c r="I379" s="53" t="b">
        <x:v>1</x:v>
      </x:c>
      <x:c r="J379" s="14" t="str"/>
      <x:c r="K379" s="14" t="str"/>
    </x:row>
    <x:row r="380">
      <x:c r="A380" t="str">
        <x:v>a2_new_minus_old_on_new_a1</x:v>
      </x:c>
      <x:c r="B380" t="str">
        <x:f>"qid:-5564120845047915486"</x:f>
        <x:v>qid:-5564120845047915486</x:v>
      </x:c>
      <x:c r="C380" s="14" t="str">
        <x:v>Where do you find a simple gear train?</x:v>
      </x:c>
      <x:c r="D380" s="14" t="str">
        <x:v>self_contained</x:v>
      </x:c>
      <x:c r="E380" s="14" t="str">
        <x:v>The Antikythera mechanism, an ancient Greek device, contains a simple gear train.</x:v>
      </x:c>
      <x:c r="F380" s="14" t="str">
        <x:v>A simple gear train can be found in the Antikythera mechanism of Greece</x:v>
      </x:c>
      <x:c r="G380" s="14" t="n">
        <x:v>1</x:v>
      </x:c>
      <x:c r="H380" s="14" t="n">
        <x:v>1</x:v>
      </x:c>
      <x:c r="I380" s="53" t="b">
        <x:v>1</x:v>
      </x:c>
      <x:c r="J380" s="14" t="str"/>
      <x:c r="K380" s="14" t="str"/>
    </x:row>
    <x:row r="381">
      <x:c r="A381" t="str">
        <x:v>a2_new_minus_old_on_new_a1</x:v>
      </x:c>
      <x:c r="B381" t="str">
        <x:f>"qid:-5564120845047915486"</x:f>
        <x:v>qid:-5564120845047915486</x:v>
      </x:c>
      <x:c r="C381" s="14" t="str">
        <x:v>Where do you find a simple gear train?</x:v>
      </x:c>
      <x:c r="D381" s="14" t="str">
        <x:v>span_aligned</x:v>
      </x:c>
      <x:c r="E381" s="14" t="str">
        <x:v>The Antikythera mechanism, an ancient Greek device, contains a simple gear train.</x:v>
      </x:c>
      <x:c r="F381" s="14" t="str">
        <x:v>A simple gear train can be found in the Antikythera mechanism of Greece</x:v>
      </x:c>
      <x:c r="G381" s="14" t="n">
        <x:v>1</x:v>
      </x:c>
      <x:c r="H381" s="14" t="n">
        <x:v>1</x:v>
      </x:c>
      <x:c r="I381" s="53" t="b">
        <x:v>1</x:v>
      </x:c>
      <x:c r="J381" s="14" t="str"/>
      <x:c r="K381" s="14" t="str"/>
    </x:row>
    <x:row r="382">
      <x:c r="A382" t="str">
        <x:v>a2_new_minus_old_on_new_a1</x:v>
      </x:c>
      <x:c r="B382" t="str">
        <x:f>"qid:-5564120845047915486"</x:f>
        <x:v>qid:-5564120845047915486</x:v>
      </x:c>
      <x:c r="C382" s="14" t="str">
        <x:v>Where do you find a simple gear train?</x:v>
      </x:c>
      <x:c r="D382" s="14" t="str">
        <x:v>rewrite_faithful</x:v>
      </x:c>
      <x:c r="E382" s="14" t="str">
        <x:v>The Antikythera mechanism, an ancient Greek device, contains a simple gear train.</x:v>
      </x:c>
      <x:c r="F382" s="14" t="str">
        <x:v>A simple gear train can be found in the Antikythera mechanism of Greece</x:v>
      </x:c>
      <x:c r="G382" s="14" t="n">
        <x:v>1</x:v>
      </x:c>
      <x:c r="H382" s="14" t="n">
        <x:v>1</x:v>
      </x:c>
      <x:c r="I382" s="53" t="b">
        <x:v>1</x:v>
      </x:c>
      <x:c r="J382" s="14" t="str"/>
      <x:c r="K382" s="14" t="str"/>
    </x:row>
    <x:row r="383">
      <x:c r="A383" t="str">
        <x:v>a2_new_minus_old_on_new_a1</x:v>
      </x:c>
      <x:c r="B383" t="str">
        <x:f>"qid:-5842265707961388968"</x:f>
        <x:v>qid:-5842265707961388968</x:v>
      </x:c>
      <x:c r="C383" s="14" t="str">
        <x:v>Who beat villanova last year in the ncaa tournament?</x:v>
      </x:c>
      <x:c r="D383" s="14" t="str">
        <x:v>atomic</x:v>
      </x:c>
      <x:c r="E383" s="14" t="str">
        <x:v>The North Carolina Tar Heels basketball team defeated the Villanova Wildcats in the National Semi-Finals during the 2015 NCAA Tournament.</x:v>
      </x:c>
      <x:c r="F383" s="14" t="str">
        <x:v>North Carolina Tar Heels beat Villanova in the National Semi-Finals of the 2015 NCAA Tournament</x:v>
      </x:c>
      <x:c r="G383" s="14" t="n">
        <x:v>1</x:v>
      </x:c>
      <x:c r="H383" s="14" t="n">
        <x:v>1</x:v>
      </x:c>
      <x:c r="I383" s="53" t="b">
        <x:v>1</x:v>
      </x:c>
      <x:c r="J383" s="14" t="str"/>
      <x:c r="K383" s="14" t="str"/>
    </x:row>
    <x:row r="384">
      <x:c r="A384" t="str">
        <x:v>a2_new_minus_old_on_new_a1</x:v>
      </x:c>
      <x:c r="B384" t="str">
        <x:f>"qid:-5842265707961388968"</x:f>
        <x:v>qid:-5842265707961388968</x:v>
      </x:c>
      <x:c r="C384" s="14" t="str">
        <x:v>Who beat villanova last year in the ncaa tournament?</x:v>
      </x:c>
      <x:c r="D384" s="14" t="str">
        <x:v>self_contained</x:v>
      </x:c>
      <x:c r="E384" s="14" t="str">
        <x:v>The North Carolina Tar Heels basketball team defeated the Villanova Wildcats in the National Semi-Finals during the 2015 NCAA Tournament.</x:v>
      </x:c>
      <x:c r="F384" s="14" t="str">
        <x:v>North Carolina Tar Heels beat Villanova in the National Semi-Finals of the 2015 NCAA Tournament</x:v>
      </x:c>
      <x:c r="G384" s="14" t="n">
        <x:v>1</x:v>
      </x:c>
      <x:c r="H384" s="14" t="n">
        <x:v>1</x:v>
      </x:c>
      <x:c r="I384" s="53" t="b">
        <x:v>1</x:v>
      </x:c>
      <x:c r="J384" s="14" t="str"/>
      <x:c r="K384" s="14" t="str"/>
    </x:row>
    <x:row r="385">
      <x:c r="A385" t="str">
        <x:v>a2_new_minus_old_on_new_a1</x:v>
      </x:c>
      <x:c r="B385" t="str">
        <x:f>"qid:-5842265707961388968"</x:f>
        <x:v>qid:-5842265707961388968</x:v>
      </x:c>
      <x:c r="C385" s="14" t="str">
        <x:v>Who beat villanova last year in the ncaa tournament?</x:v>
      </x:c>
      <x:c r="D385" s="14" t="str">
        <x:v>span_aligned</x:v>
      </x:c>
      <x:c r="E385" s="14" t="str">
        <x:v>The North Carolina Tar Heels basketball team defeated the Villanova Wildcats in the National Semi-Finals during the 2015 NCAA Tournament.</x:v>
      </x:c>
      <x:c r="F385" s="14" t="str">
        <x:v>North Carolina Tar Heels beat Villanova in the National Semi-Finals of the 2015 NCAA Tournament</x:v>
      </x:c>
      <x:c r="G385" s="14" t="n">
        <x:v>1</x:v>
      </x:c>
      <x:c r="H385" s="14" t="n">
        <x:v>1</x:v>
      </x:c>
      <x:c r="I385" s="53" t="b">
        <x:v>1</x:v>
      </x:c>
      <x:c r="J385" s="14" t="str"/>
      <x:c r="K385" s="14" t="str"/>
    </x:row>
    <x:row r="386">
      <x:c r="A386" t="str">
        <x:v>a2_new_minus_old_on_new_a1</x:v>
      </x:c>
      <x:c r="B386" t="str">
        <x:f>"qid:-5842265707961388968"</x:f>
        <x:v>qid:-5842265707961388968</x:v>
      </x:c>
      <x:c r="C386" s="14" t="str">
        <x:v>Who beat villanova last year in the ncaa tournament?</x:v>
      </x:c>
      <x:c r="D386" s="14" t="str">
        <x:v>rewrite_faithful</x:v>
      </x:c>
      <x:c r="E386" s="14" t="str">
        <x:v>The North Carolina Tar Heels basketball team defeated the Villanova Wildcats in the National Semi-Finals during the 2015 NCAA Tournament.</x:v>
      </x:c>
      <x:c r="F386" s="14" t="str">
        <x:v>North Carolina Tar Heels beat Villanova in the National Semi-Finals of the 2015 NCAA Tournament</x:v>
      </x:c>
      <x:c r="G386" s="14" t="n">
        <x:v>1</x:v>
      </x:c>
      <x:c r="H386" s="14" t="n">
        <x:v>1</x:v>
      </x:c>
      <x:c r="I386" s="53" t="b">
        <x:v>1</x:v>
      </x:c>
      <x:c r="J386" s="14" t="str"/>
      <x:c r="K386" s="14" t="str"/>
    </x:row>
    <x:row r="387">
      <x:c r="A387" t="str">
        <x:v>a2_new_minus_old_on_new_a1</x:v>
      </x:c>
      <x:c r="B387" t="str">
        <x:f>"qid:-5942352520455511076"</x:f>
        <x:v>qid:-5942352520455511076</x:v>
      </x:c>
      <x:c r="C387" s="14" t="str">
        <x:v>Where can adipose tissue be found in the body?</x:v>
      </x:c>
      <x:c r="D387" s="14" t="str">
        <x:v>atomic</x:v>
      </x:c>
      <x:c r="E387" s="14" t="str">
        <x:v>Adipose tissue exists beneath the skin as subcutaneous fat.</x:v>
      </x:c>
      <x:c r="F387" s="14" t="str">
        <x:v>Adipose tissue is located beneath the skin (subcutaneous fat)</x:v>
      </x:c>
      <x:c r="G387" s="14" t="n">
        <x:v>1</x:v>
      </x:c>
      <x:c r="H387" s="14" t="n">
        <x:v>1</x:v>
      </x:c>
      <x:c r="I387" s="53" t="b">
        <x:v>1</x:v>
      </x:c>
      <x:c r="J387" s="14" t="str"/>
      <x:c r="K387" s="14" t="str"/>
    </x:row>
    <x:row r="388">
      <x:c r="A388" t="str">
        <x:v>a2_new_minus_old_on_new_a1</x:v>
      </x:c>
      <x:c r="B388" t="str">
        <x:f>"qid:-5942352520455511076"</x:f>
        <x:v>qid:-5942352520455511076</x:v>
      </x:c>
      <x:c r="C388" s="14" t="str">
        <x:v>Where can adipose tissue be found in the body?</x:v>
      </x:c>
      <x:c r="D388" s="14" t="str">
        <x:v>self_contained</x:v>
      </x:c>
      <x:c r="E388" s="14" t="str">
        <x:v>Adipose tissue exists beneath the skin as subcutaneous fat.</x:v>
      </x:c>
      <x:c r="F388" s="14" t="str">
        <x:v>Adipose tissue is located beneath the skin (subcutaneous fat)</x:v>
      </x:c>
      <x:c r="G388" s="14" t="n">
        <x:v>1</x:v>
      </x:c>
      <x:c r="H388" s="14" t="n">
        <x:v>1</x:v>
      </x:c>
      <x:c r="I388" s="53" t="b">
        <x:v>1</x:v>
      </x:c>
      <x:c r="J388" s="14" t="str"/>
      <x:c r="K388" s="14" t="str"/>
    </x:row>
    <x:row r="389">
      <x:c r="A389" t="str">
        <x:v>a2_new_minus_old_on_new_a1</x:v>
      </x:c>
      <x:c r="B389" t="str">
        <x:f>"qid:-5942352520455511076"</x:f>
        <x:v>qid:-5942352520455511076</x:v>
      </x:c>
      <x:c r="C389" s="14" t="str">
        <x:v>Where can adipose tissue be found in the body?</x:v>
      </x:c>
      <x:c r="D389" s="14" t="str">
        <x:v>span_aligned</x:v>
      </x:c>
      <x:c r="E389" s="14" t="str">
        <x:v>Adipose tissue exists beneath the skin as subcutaneous fat.</x:v>
      </x:c>
      <x:c r="F389" s="14" t="str">
        <x:v>Adipose tissue is located beneath the skin (subcutaneous fat)</x:v>
      </x:c>
      <x:c r="G389" s="14" t="n">
        <x:v>1</x:v>
      </x:c>
      <x:c r="H389" s="14" t="n">
        <x:v>1</x:v>
      </x:c>
      <x:c r="I389" s="53" t="b">
        <x:v>1</x:v>
      </x:c>
      <x:c r="J389" s="14" t="str"/>
      <x:c r="K389" s="14" t="str"/>
    </x:row>
    <x:row r="390">
      <x:c r="A390" t="str">
        <x:v>a2_new_minus_old_on_new_a1</x:v>
      </x:c>
      <x:c r="B390" t="str">
        <x:f>"qid:-5942352520455511076"</x:f>
        <x:v>qid:-5942352520455511076</x:v>
      </x:c>
      <x:c r="C390" s="14" t="str">
        <x:v>Where can adipose tissue be found in the body?</x:v>
      </x:c>
      <x:c r="D390" s="14" t="str">
        <x:v>rewrite_faithful</x:v>
      </x:c>
      <x:c r="E390" s="14" t="str">
        <x:v>Adipose tissue exists beneath the skin as subcutaneous fat.</x:v>
      </x:c>
      <x:c r="F390" s="14" t="str">
        <x:v>Adipose tissue is located beneath the skin (subcutaneous fat)</x:v>
      </x:c>
      <x:c r="G390" s="14" t="n">
        <x:v>1</x:v>
      </x:c>
      <x:c r="H390" s="14" t="n">
        <x:v>1</x:v>
      </x:c>
      <x:c r="I390" s="53" t="b">
        <x:v>1</x:v>
      </x:c>
      <x:c r="J390" s="14" t="str"/>
      <x:c r="K390" s="14" t="str"/>
    </x:row>
    <x:row r="391">
      <x:c r="A391" t="str">
        <x:v>a2_new_minus_old_on_new_a1</x:v>
      </x:c>
      <x:c r="B391" t="str">
        <x:f>"qid:-5942352520455511076"</x:f>
        <x:v>qid:-5942352520455511076</x:v>
      </x:c>
      <x:c r="C391" s="14" t="str">
        <x:v>Where can adipose tissue be found in the body?</x:v>
      </x:c>
      <x:c r="D391" s="14" t="str">
        <x:v>atomic</x:v>
      </x:c>
      <x:c r="E391" s="14" t="str">
        <x:v>Adipose tissue surrounds internal organs as visceral fat.</x:v>
      </x:c>
      <x:c r="F391" s="14" t="str">
        <x:v>Adipose tissue is located beneath the skin (subcutaneous fat) [1][4], around internal organs (visceral fat) [1][3], in bone marrow (yellow bone marrow) [1], intermuscularly [1], and in the breast tissue [1].</x:v>
      </x:c>
      <x:c r="G391" s="14" t="n">
        <x:v>1</x:v>
      </x:c>
      <x:c r="H391" s="14" t="n">
        <x:v>1</x:v>
      </x:c>
      <x:c r="I391" s="53" t="b">
        <x:v>1</x:v>
      </x:c>
      <x:c r="J391" s="14" t="str"/>
      <x:c r="K391" s="14" t="str"/>
    </x:row>
    <x:row r="392">
      <x:c r="A392" t="str">
        <x:v>a2_new_minus_old_on_new_a1</x:v>
      </x:c>
      <x:c r="B392" t="str">
        <x:f>"qid:-5942352520455511076"</x:f>
        <x:v>qid:-5942352520455511076</x:v>
      </x:c>
      <x:c r="C392" s="14" t="str">
        <x:v>Where can adipose tissue be found in the body?</x:v>
      </x:c>
      <x:c r="D392" s="14" t="str">
        <x:v>self_contained</x:v>
      </x:c>
      <x:c r="E392" s="14" t="str">
        <x:v>Adipose tissue surrounds internal organs as visceral fat.</x:v>
      </x:c>
      <x:c r="F392" s="14" t="str">
        <x:v>Adipose tissue is located beneath the skin (subcutaneous fat) [1][4], around internal organs (visceral fat) [1][3], in bone marrow (yellow bone marrow) [1], intermuscularly [1], and in the breast tissue [1].</x:v>
      </x:c>
      <x:c r="G392" s="14" t="n">
        <x:v>1</x:v>
      </x:c>
      <x:c r="H392" s="14" t="n">
        <x:v>1</x:v>
      </x:c>
      <x:c r="I392" s="53" t="b">
        <x:v>1</x:v>
      </x:c>
      <x:c r="J392" s="14" t="str"/>
      <x:c r="K392" s="14" t="str"/>
    </x:row>
    <x:row r="393">
      <x:c r="A393" t="str">
        <x:v>a2_new_minus_old_on_new_a1</x:v>
      </x:c>
      <x:c r="B393" t="str">
        <x:f>"qid:-5942352520455511076"</x:f>
        <x:v>qid:-5942352520455511076</x:v>
      </x:c>
      <x:c r="C393" s="14" t="str">
        <x:v>Where can adipose tissue be found in the body?</x:v>
      </x:c>
      <x:c r="D393" s="14" t="str">
        <x:v>span_aligned</x:v>
      </x:c>
      <x:c r="E393" s="14" t="str">
        <x:v>Adipose tissue surrounds internal organs as visceral fat.</x:v>
      </x:c>
      <x:c r="F393" s="14" t="str">
        <x:v>Adipose tissue is located beneath the skin (subcutaneous fat) [1][4], around internal organs (visceral fat) [1][3], in bone marrow (yellow bone marrow) [1], intermuscularly [1], and in the breast tissue [1].</x:v>
      </x:c>
      <x:c r="G393" s="14" t="n">
        <x:v>1</x:v>
      </x:c>
      <x:c r="H393" s="14" t="n">
        <x:v>1</x:v>
      </x:c>
      <x:c r="I393" s="53" t="b">
        <x:v>1</x:v>
      </x:c>
      <x:c r="J393" s="14" t="str"/>
      <x:c r="K393" s="14" t="str"/>
    </x:row>
    <x:row r="394">
      <x:c r="A394" t="str">
        <x:v>a2_new_minus_old_on_new_a1</x:v>
      </x:c>
      <x:c r="B394" t="str">
        <x:f>"qid:-5942352520455511076"</x:f>
        <x:v>qid:-5942352520455511076</x:v>
      </x:c>
      <x:c r="C394" s="14" t="str">
        <x:v>Where can adipose tissue be found in the body?</x:v>
      </x:c>
      <x:c r="D394" s="14" t="str">
        <x:v>rewrite_faithful</x:v>
      </x:c>
      <x:c r="E394" s="14" t="str">
        <x:v>Adipose tissue surrounds internal organs as visceral fat.</x:v>
      </x:c>
      <x:c r="F394" s="14" t="str">
        <x:v>Adipose tissue is located beneath the skin (subcutaneous fat) [1][4], around internal organs (visceral fat) [1][3], in bone marrow (yellow bone marrow) [1], intermuscularly [1], and in the breast tissue [1].</x:v>
      </x:c>
      <x:c r="G394" s="14" t="n">
        <x:v>1</x:v>
      </x:c>
      <x:c r="H394" s="14" t="n">
        <x:v>1</x:v>
      </x:c>
      <x:c r="I394" s="53" t="b">
        <x:v>1</x:v>
      </x:c>
      <x:c r="J394" s="14" t="str"/>
      <x:c r="K394" s="14" t="str"/>
    </x:row>
    <x:row r="395">
      <x:c r="A395" t="str">
        <x:v>a2_new_minus_old_on_new_a1</x:v>
      </x:c>
      <x:c r="B395" t="str">
        <x:f>"qid:-62521546794442829"</x:f>
        <x:v>qid:-62521546794442829</x:v>
      </x:c>
      <x:c r="C395" s="14" t="str">
        <x:v>For whom was the battle of king's mountain a victory?</x:v>
      </x:c>
      <x:c r="D395" s="14" t="str">
        <x:v>atomic</x:v>
      </x:c>
      <x:c r="E395" s="14" t="str">
        <x:v>The Patriots won the Battle of King's Mountain.</x:v>
      </x:c>
      <x:c r="F395" s="14" t="str">
        <x:v>The battle of King's Mountain was a victory for the Patriots</x:v>
      </x:c>
      <x:c r="G395" s="14" t="n">
        <x:v>1</x:v>
      </x:c>
      <x:c r="H395" s="14" t="n">
        <x:v>1</x:v>
      </x:c>
      <x:c r="I395" s="53" t="b">
        <x:v>1</x:v>
      </x:c>
      <x:c r="J395" s="14" t="str"/>
      <x:c r="K395" s="14" t="str"/>
    </x:row>
    <x:row r="396">
      <x:c r="A396" t="str">
        <x:v>a2_new_minus_old_on_new_a1</x:v>
      </x:c>
      <x:c r="B396" t="str">
        <x:f>"qid:-62521546794442829"</x:f>
        <x:v>qid:-62521546794442829</x:v>
      </x:c>
      <x:c r="C396" s="14" t="str">
        <x:v>For whom was the battle of king's mountain a victory?</x:v>
      </x:c>
      <x:c r="D396" s="14" t="str">
        <x:v>self_contained</x:v>
      </x:c>
      <x:c r="E396" s="14" t="str">
        <x:v>The Patriots won the Battle of King's Mountain.</x:v>
      </x:c>
      <x:c r="F396" s="14" t="str">
        <x:v>The battle of King's Mountain was a victory for the Patriots</x:v>
      </x:c>
      <x:c r="G396" s="14" t="n">
        <x:v>1</x:v>
      </x:c>
      <x:c r="H396" s="14" t="n">
        <x:v>1</x:v>
      </x:c>
      <x:c r="I396" s="53" t="b">
        <x:v>1</x:v>
      </x:c>
      <x:c r="J396" s="14" t="str"/>
      <x:c r="K396" s="14" t="str"/>
    </x:row>
    <x:row r="397">
      <x:c r="A397" t="str">
        <x:v>a2_new_minus_old_on_new_a1</x:v>
      </x:c>
      <x:c r="B397" t="str">
        <x:f>"qid:-62521546794442829"</x:f>
        <x:v>qid:-62521546794442829</x:v>
      </x:c>
      <x:c r="C397" s="14" t="str">
        <x:v>For whom was the battle of king's mountain a victory?</x:v>
      </x:c>
      <x:c r="D397" s="14" t="str">
        <x:v>span_aligned</x:v>
      </x:c>
      <x:c r="E397" s="14" t="str">
        <x:v>The Patriots won the Battle of King's Mountain.</x:v>
      </x:c>
      <x:c r="F397" s="14" t="str">
        <x:v>The battle of King's Mountain was a victory for the Patriots</x:v>
      </x:c>
      <x:c r="G397" s="14" t="n">
        <x:v>1</x:v>
      </x:c>
      <x:c r="H397" s="14" t="n">
        <x:v>1</x:v>
      </x:c>
      <x:c r="I397" s="53" t="b">
        <x:v>1</x:v>
      </x:c>
      <x:c r="J397" s="14" t="str"/>
      <x:c r="K397" s="14" t="str"/>
    </x:row>
    <x:row r="398">
      <x:c r="A398" t="str">
        <x:v>a2_new_minus_old_on_new_a1</x:v>
      </x:c>
      <x:c r="B398" t="str">
        <x:f>"qid:-62521546794442829"</x:f>
        <x:v>qid:-62521546794442829</x:v>
      </x:c>
      <x:c r="C398" s="14" t="str">
        <x:v>For whom was the battle of king's mountain a victory?</x:v>
      </x:c>
      <x:c r="D398" s="14" t="str">
        <x:v>rewrite_faithful</x:v>
      </x:c>
      <x:c r="E398" s="14" t="str">
        <x:v>The Patriots won the Battle of King's Mountain.</x:v>
      </x:c>
      <x:c r="F398" s="14" t="str">
        <x:v>The battle of King's Mountain was a victory for the Patriots</x:v>
      </x:c>
      <x:c r="G398" s="14" t="n">
        <x:v>1</x:v>
      </x:c>
      <x:c r="H398" s="14" t="n">
        <x:v>1</x:v>
      </x:c>
      <x:c r="I398" s="53" t="b">
        <x:v>1</x:v>
      </x:c>
      <x:c r="J398" s="14" t="str"/>
      <x:c r="K398" s="14" t="str"/>
    </x:row>
    <x:row r="399">
      <x:c r="A399" t="str">
        <x:v>a2_new_minus_old_on_new_a1</x:v>
      </x:c>
      <x:c r="B399" t="str">
        <x:f>"qid:-6702031255040326279"</x:f>
        <x:v>qid:-6702031255040326279</x:v>
      </x:c>
      <x:c r="C399" s="14" t="str">
        <x:v>Which of the animal is a carrier of h1n1?</x:v>
      </x:c>
      <x:c r="D399" s="14" t="str">
        <x:v>atomic</x:v>
      </x:c>
      <x:c r="E399" s="14" t="str">
        <x:v>Household cats can carry the H1N1 influenza virus.</x:v>
      </x:c>
      <x:c r="F399" s="14" t="str">
        <x:v>Household cats have been reported as carriers of the H1N1 influenza virus</x:v>
      </x:c>
      <x:c r="G399" s="14" t="n">
        <x:v>1</x:v>
      </x:c>
      <x:c r="H399" s="14" t="n">
        <x:v>1</x:v>
      </x:c>
      <x:c r="I399" s="53" t="b">
        <x:v>1</x:v>
      </x:c>
      <x:c r="J399" s="14" t="str"/>
      <x:c r="K399" s="14" t="str"/>
    </x:row>
    <x:row r="400">
      <x:c r="A400" t="str">
        <x:v>a2_new_minus_old_on_new_a1</x:v>
      </x:c>
      <x:c r="B400" t="str">
        <x:f>"qid:-6702031255040326279"</x:f>
        <x:v>qid:-6702031255040326279</x:v>
      </x:c>
      <x:c r="C400" s="14" t="str">
        <x:v>Which of the animal is a carrier of h1n1?</x:v>
      </x:c>
      <x:c r="D400" s="14" t="str">
        <x:v>self_contained</x:v>
      </x:c>
      <x:c r="E400" s="14" t="str">
        <x:v>Household cats can carry the H1N1 influenza virus.</x:v>
      </x:c>
      <x:c r="F400" s="14" t="str">
        <x:v>Household cats have been reported as carriers of the H1N1 influenza virus</x:v>
      </x:c>
      <x:c r="G400" s="14" t="n">
        <x:v>1</x:v>
      </x:c>
      <x:c r="H400" s="14" t="n">
        <x:v>1</x:v>
      </x:c>
      <x:c r="I400" s="53" t="b">
        <x:v>1</x:v>
      </x:c>
      <x:c r="J400" s="14" t="str"/>
      <x:c r="K400" s="14" t="str"/>
    </x:row>
    <x:row r="401">
      <x:c r="A401" t="str">
        <x:v>a2_new_minus_old_on_new_a1</x:v>
      </x:c>
      <x:c r="B401" t="str">
        <x:f>"qid:-6702031255040326279"</x:f>
        <x:v>qid:-6702031255040326279</x:v>
      </x:c>
      <x:c r="C401" s="14" t="str">
        <x:v>Which of the animal is a carrier of h1n1?</x:v>
      </x:c>
      <x:c r="D401" s="14" t="str">
        <x:v>span_aligned</x:v>
      </x:c>
      <x:c r="E401" s="14" t="str">
        <x:v>Household cats can carry the H1N1 influenza virus.</x:v>
      </x:c>
      <x:c r="F401" s="14" t="str">
        <x:v>Household cats have been reported as carriers of the H1N1 influenza virus</x:v>
      </x:c>
      <x:c r="G401" s="14" t="n">
        <x:v>1</x:v>
      </x:c>
      <x:c r="H401" s="14" t="n">
        <x:v>1</x:v>
      </x:c>
      <x:c r="I401" s="53" t="b">
        <x:v>1</x:v>
      </x:c>
      <x:c r="J401" s="14" t="str"/>
      <x:c r="K401" s="14" t="str"/>
    </x:row>
    <x:row r="402">
      <x:c r="A402" t="str">
        <x:v>a2_new_minus_old_on_new_a1</x:v>
      </x:c>
      <x:c r="B402" t="str">
        <x:f>"qid:-6702031255040326279"</x:f>
        <x:v>qid:-6702031255040326279</x:v>
      </x:c>
      <x:c r="C402" s="14" t="str">
        <x:v>Which of the animal is a carrier of h1n1?</x:v>
      </x:c>
      <x:c r="D402" s="14" t="str">
        <x:v>rewrite_faithful</x:v>
      </x:c>
      <x:c r="E402" s="14" t="str">
        <x:v>Household cats can carry the H1N1 influenza virus.</x:v>
      </x:c>
      <x:c r="F402" s="14" t="str">
        <x:v>Household cats have been reported as carriers of the H1N1 influenza virus</x:v>
      </x:c>
      <x:c r="G402" s="14" t="n">
        <x:v>1</x:v>
      </x:c>
      <x:c r="H402" s="14" t="n">
        <x:v>1</x:v>
      </x:c>
      <x:c r="I402" s="53" t="b">
        <x:v>1</x:v>
      </x:c>
      <x:c r="J402" s="14" t="str"/>
      <x:c r="K402" s="14" t="str"/>
    </x:row>
    <x:row r="403">
      <x:c r="A403" t="str">
        <x:v>a2_new_minus_old_on_new_a1</x:v>
      </x:c>
      <x:c r="B403" t="str">
        <x:f>"qid:-728189424752983312"</x:f>
        <x:v>qid:-728189424752983312</x:v>
      </x:c>
      <x:c r="C403" s="14" t="str">
        <x:v>Where did the term bye felicia come from?</x:v>
      </x:c>
      <x:c r="D403" s="14" t="str">
        <x:v>atomic</x:v>
      </x:c>
      <x:c r="E403" s="14" t="str">
        <x:v>The phrase "Bye, Felicia" was first used in the 1995 film Friday.</x:v>
      </x:c>
      <x:c r="F403" s="14" t="str">
        <x:v>The term "Bye, Felicia" originated from a scene in the American stoner buddy crime comedy film "Friday" (1995)</x:v>
      </x:c>
      <x:c r="G403" s="14" t="n">
        <x:v>1</x:v>
      </x:c>
      <x:c r="H403" s="14" t="n">
        <x:v>1</x:v>
      </x:c>
      <x:c r="I403" s="53" t="b">
        <x:v>1</x:v>
      </x:c>
      <x:c r="J403" s="14" t="str"/>
      <x:c r="K403" s="14" t="str"/>
    </x:row>
    <x:row r="404">
      <x:c r="A404" t="str">
        <x:v>a2_new_minus_old_on_new_a1</x:v>
      </x:c>
      <x:c r="B404" t="str">
        <x:f>"qid:-728189424752983312"</x:f>
        <x:v>qid:-728189424752983312</x:v>
      </x:c>
      <x:c r="C404" s="14" t="str">
        <x:v>Where did the term bye felicia come from?</x:v>
      </x:c>
      <x:c r="D404" s="14" t="str">
        <x:v>self_contained</x:v>
      </x:c>
      <x:c r="E404" s="14" t="str">
        <x:v>The phrase "Bye, Felicia" was first used in the 1995 film Friday.</x:v>
      </x:c>
      <x:c r="F404" s="14" t="str">
        <x:v>The term "Bye, Felicia" originated from a scene in the American stoner buddy crime comedy film "Friday" (1995)</x:v>
      </x:c>
      <x:c r="G404" s="14" t="n">
        <x:v>1</x:v>
      </x:c>
      <x:c r="H404" s="14" t="n">
        <x:v>1</x:v>
      </x:c>
      <x:c r="I404" s="53" t="b">
        <x:v>1</x:v>
      </x:c>
      <x:c r="J404" s="14" t="str"/>
      <x:c r="K404" s="14" t="str"/>
    </x:row>
    <x:row r="405">
      <x:c r="A405" t="str">
        <x:v>a2_new_minus_old_on_new_a1</x:v>
      </x:c>
      <x:c r="B405" t="str">
        <x:f>"qid:-728189424752983312"</x:f>
        <x:v>qid:-728189424752983312</x:v>
      </x:c>
      <x:c r="C405" s="14" t="str">
        <x:v>Where did the term bye felicia come from?</x:v>
      </x:c>
      <x:c r="D405" s="14" t="str">
        <x:v>span_aligned</x:v>
      </x:c>
      <x:c r="E405" s="14" t="str">
        <x:v>The phrase "Bye, Felicia" was first used in the 1995 film Friday.</x:v>
      </x:c>
      <x:c r="F405" s="14" t="str">
        <x:v>The term "Bye, Felicia" originated from a scene in the American stoner buddy crime comedy film "Friday" (1995)</x:v>
      </x:c>
      <x:c r="G405" s="14" t="n">
        <x:v>1</x:v>
      </x:c>
      <x:c r="H405" s="14" t="n">
        <x:v>1</x:v>
      </x:c>
      <x:c r="I405" s="53" t="b">
        <x:v>1</x:v>
      </x:c>
      <x:c r="J405" s="14" t="str"/>
      <x:c r="K405" s="14" t="str"/>
    </x:row>
    <x:row r="406">
      <x:c r="A406" t="str">
        <x:v>a2_new_minus_old_on_new_a1</x:v>
      </x:c>
      <x:c r="B406" t="str">
        <x:f>"qid:-728189424752983312"</x:f>
        <x:v>qid:-728189424752983312</x:v>
      </x:c>
      <x:c r="C406" s="14" t="str">
        <x:v>Where did the term bye felicia come from?</x:v>
      </x:c>
      <x:c r="D406" s="14" t="str">
        <x:v>rewrite_faithful</x:v>
      </x:c>
      <x:c r="E406" s="14" t="str">
        <x:v>The phrase "Bye, Felicia" was first used in the 1995 film Friday.</x:v>
      </x:c>
      <x:c r="F406" s="14" t="str">
        <x:v>The term "Bye, Felicia" originated from a scene in the American stoner buddy crime comedy film "Friday" (1995)</x:v>
      </x:c>
      <x:c r="G406" s="14" t="n">
        <x:v>1</x:v>
      </x:c>
      <x:c r="H406" s="14" t="n">
        <x:v>1</x:v>
      </x:c>
      <x:c r="I406" s="53" t="b">
        <x:v>1</x:v>
      </x:c>
      <x:c r="J406" s="14" t="str"/>
      <x:c r="K406" s="14" t="str"/>
    </x:row>
    <x:row r="407">
      <x:c r="A407" t="str">
        <x:v>a2_new_minus_old_on_new_a1</x:v>
      </x:c>
      <x:c r="B407" t="str">
        <x:f>"qid:-7699606393193219666"</x:f>
        <x:v>qid:-7699606393193219666</x:v>
      </x:c>
      <x:c r="C407" s="14" t="str">
        <x:v>Who played cowboy curtis on pee wee herman?</x:v>
      </x:c>
      <x:c r="D407" s="14" t="str">
        <x:v>atomic</x:v>
      </x:c>
      <x:c r="E407" s="14" t="str">
        <x:v>Kevin Bacon portrayed the character Cowboy Curtis in the CBS children's television series Pee‑Wee's Playhouse.</x:v>
      </x:c>
      <x:c r="F407" s="14" t="str">
        <x:v>Kevin Bacon played Cowboy Curtis on Pee‑Wee Herman's CBS children's television show "Pee‑wee's Playhouse."</x:v>
      </x:c>
      <x:c r="G407" s="14" t="n">
        <x:v>1</x:v>
      </x:c>
      <x:c r="H407" s="14" t="n">
        <x:v>1</x:v>
      </x:c>
      <x:c r="I407" s="53" t="b">
        <x:v>1</x:v>
      </x:c>
      <x:c r="J407" s="14" t="str"/>
      <x:c r="K407" s="14" t="str"/>
    </x:row>
    <x:row r="408">
      <x:c r="A408" t="str">
        <x:v>a2_new_minus_old_on_new_a1</x:v>
      </x:c>
      <x:c r="B408" t="str">
        <x:f>"qid:-7699606393193219666"</x:f>
        <x:v>qid:-7699606393193219666</x:v>
      </x:c>
      <x:c r="C408" s="14" t="str">
        <x:v>Who played cowboy curtis on pee wee herman?</x:v>
      </x:c>
      <x:c r="D408" s="14" t="str">
        <x:v>self_contained</x:v>
      </x:c>
      <x:c r="E408" s="14" t="str">
        <x:v>Kevin Bacon portrayed the character Cowboy Curtis in the CBS children's television series Pee‑Wee's Playhouse.</x:v>
      </x:c>
      <x:c r="F408" s="14" t="str">
        <x:v>Kevin Bacon played Cowboy Curtis on Pee‑Wee Herman's CBS children's television show "Pee‑wee's Playhouse."</x:v>
      </x:c>
      <x:c r="G408" s="14" t="n">
        <x:v>1</x:v>
      </x:c>
      <x:c r="H408" s="14" t="n">
        <x:v>1</x:v>
      </x:c>
      <x:c r="I408" s="53" t="b">
        <x:v>1</x:v>
      </x:c>
      <x:c r="J408" s="14" t="str"/>
      <x:c r="K408" s="14" t="str"/>
    </x:row>
    <x:row r="409">
      <x:c r="A409" t="str">
        <x:v>a2_new_minus_old_on_new_a1</x:v>
      </x:c>
      <x:c r="B409" t="str">
        <x:f>"qid:-7699606393193219666"</x:f>
        <x:v>qid:-7699606393193219666</x:v>
      </x:c>
      <x:c r="C409" s="14" t="str">
        <x:v>Who played cowboy curtis on pee wee herman?</x:v>
      </x:c>
      <x:c r="D409" s="14" t="str">
        <x:v>span_aligned</x:v>
      </x:c>
      <x:c r="E409" s="14" t="str">
        <x:v>Kevin Bacon portrayed the character Cowboy Curtis in the CBS children's television series Pee‑Wee's Playhouse.</x:v>
      </x:c>
      <x:c r="F409" s="14" t="str">
        <x:v>Kevin Bacon played Cowboy Curtis on Pee‑Wee Herman's CBS children's television show "Pee‑wee's Playhouse."</x:v>
      </x:c>
      <x:c r="G409" s="14" t="n">
        <x:v>1</x:v>
      </x:c>
      <x:c r="H409" s="14" t="n">
        <x:v>1</x:v>
      </x:c>
      <x:c r="I409" s="53" t="b">
        <x:v>1</x:v>
      </x:c>
      <x:c r="J409" s="14" t="str"/>
      <x:c r="K409" s="14" t="str"/>
    </x:row>
    <x:row r="410">
      <x:c r="A410" t="str">
        <x:v>a2_new_minus_old_on_new_a1</x:v>
      </x:c>
      <x:c r="B410" t="str">
        <x:f>"qid:-7699606393193219666"</x:f>
        <x:v>qid:-7699606393193219666</x:v>
      </x:c>
      <x:c r="C410" s="14" t="str">
        <x:v>Who played cowboy curtis on pee wee herman?</x:v>
      </x:c>
      <x:c r="D410" s="14" t="str">
        <x:v>rewrite_faithful</x:v>
      </x:c>
      <x:c r="E410" s="14" t="str">
        <x:v>Kevin Bacon portrayed the character Cowboy Curtis in the CBS children's television series Pee‑Wee's Playhouse.</x:v>
      </x:c>
      <x:c r="F410" s="14" t="str">
        <x:v>Kevin Bacon played Cowboy Curtis on Pee‑Wee Herman's CBS children's television show "Pee‑wee's Playhouse."</x:v>
      </x:c>
      <x:c r="G410" s="14" t="n">
        <x:v>1</x:v>
      </x:c>
      <x:c r="H410" s="14" t="n">
        <x:v>1</x:v>
      </x:c>
      <x:c r="I410" s="53" t="b">
        <x:v>1</x:v>
      </x:c>
      <x:c r="J410" s="14" t="str"/>
      <x:c r="K410" s="14" t="str"/>
    </x:row>
    <x:row r="411">
      <x:c r="A411" t="str">
        <x:v>a2_new_minus_old_on_new_a1</x:v>
      </x:c>
      <x:c r="B411" t="str">
        <x:f>"qid:-7824075627194227170"</x:f>
        <x:v>qid:-7824075627194227170</x:v>
      </x:c>
      <x:c r="C411" s="14" t="str">
        <x:v>When was the commission fir sc/st established?</x:v>
      </x:c>
      <x:c r="D411" s="14" t="str">
        <x:v>atomic</x:v>
      </x:c>
      <x:c r="E411" s="14" t="str">
        <x:v>The first commission for Scheduled Castes and Scheduled Tribes was established in August 1978.</x:v>
      </x:c>
      <x:c r="F411" s="14" t="str">
        <x:v>The first commission for Scheduled Castes and Scheduled Tribes was established in August 1978</x:v>
      </x:c>
      <x:c r="G411" s="14" t="n">
        <x:v>1</x:v>
      </x:c>
      <x:c r="H411" s="14" t="n">
        <x:v>1</x:v>
      </x:c>
      <x:c r="I411" s="53" t="b">
        <x:v>1</x:v>
      </x:c>
      <x:c r="J411" s="14" t="str"/>
      <x:c r="K411" s="14" t="str"/>
    </x:row>
    <x:row r="412">
      <x:c r="A412" t="str">
        <x:v>a2_new_minus_old_on_new_a1</x:v>
      </x:c>
      <x:c r="B412" t="str">
        <x:f>"qid:-7824075627194227170"</x:f>
        <x:v>qid:-7824075627194227170</x:v>
      </x:c>
      <x:c r="C412" s="14" t="str">
        <x:v>When was the commission fir sc/st established?</x:v>
      </x:c>
      <x:c r="D412" s="14" t="str">
        <x:v>self_contained</x:v>
      </x:c>
      <x:c r="E412" s="14" t="str">
        <x:v>The first commission for Scheduled Castes and Scheduled Tribes was established in August 1978.</x:v>
      </x:c>
      <x:c r="F412" s="14" t="str">
        <x:v>The first commission for Scheduled Castes and Scheduled Tribes was established in August 1978</x:v>
      </x:c>
      <x:c r="G412" s="14" t="n">
        <x:v>1</x:v>
      </x:c>
      <x:c r="H412" s="14" t="n">
        <x:v>1</x:v>
      </x:c>
      <x:c r="I412" s="53" t="b">
        <x:v>1</x:v>
      </x:c>
      <x:c r="J412" s="14" t="str"/>
      <x:c r="K412" s="14" t="str"/>
    </x:row>
    <x:row r="413">
      <x:c r="A413" t="str">
        <x:v>a2_new_minus_old_on_new_a1</x:v>
      </x:c>
      <x:c r="B413" t="str">
        <x:f>"qid:-7824075627194227170"</x:f>
        <x:v>qid:-7824075627194227170</x:v>
      </x:c>
      <x:c r="C413" s="14" t="str">
        <x:v>When was the commission fir sc/st established?</x:v>
      </x:c>
      <x:c r="D413" s="14" t="str">
        <x:v>span_aligned</x:v>
      </x:c>
      <x:c r="E413" s="14" t="str">
        <x:v>The first commission for Scheduled Castes and Scheduled Tribes was established in August 1978.</x:v>
      </x:c>
      <x:c r="F413" s="14" t="str">
        <x:v>The first commission for Scheduled Castes and Scheduled Tribes was established in August 1978</x:v>
      </x:c>
      <x:c r="G413" s="14" t="n">
        <x:v>1</x:v>
      </x:c>
      <x:c r="H413" s="14" t="n">
        <x:v>1</x:v>
      </x:c>
      <x:c r="I413" s="53" t="b">
        <x:v>1</x:v>
      </x:c>
      <x:c r="J413" s="14" t="str"/>
      <x:c r="K413" s="14" t="str"/>
    </x:row>
    <x:row r="414">
      <x:c r="A414" t="str">
        <x:v>a2_new_minus_old_on_new_a1</x:v>
      </x:c>
      <x:c r="B414" t="str">
        <x:f>"qid:-7824075627194227170"</x:f>
        <x:v>qid:-7824075627194227170</x:v>
      </x:c>
      <x:c r="C414" s="14" t="str">
        <x:v>When was the commission fir sc/st established?</x:v>
      </x:c>
      <x:c r="D414" s="14" t="str">
        <x:v>rewrite_faithful</x:v>
      </x:c>
      <x:c r="E414" s="14" t="str">
        <x:v>The first commission for Scheduled Castes and Scheduled Tribes was established in August 1978.</x:v>
      </x:c>
      <x:c r="F414" s="14" t="str">
        <x:v>The first commission for Scheduled Castes and Scheduled Tribes was established in August 1978</x:v>
      </x:c>
      <x:c r="G414" s="14" t="n">
        <x:v>1</x:v>
      </x:c>
      <x:c r="H414" s="14" t="n">
        <x:v>1</x:v>
      </x:c>
      <x:c r="I414" s="53" t="b">
        <x:v>1</x:v>
      </x:c>
      <x:c r="J414" s="14" t="str"/>
      <x:c r="K414" s="14" t="str"/>
    </x:row>
    <x:row r="415">
      <x:c r="A415" t="str">
        <x:v>a2_new_minus_old_on_new_a1</x:v>
      </x:c>
      <x:c r="B415" t="str">
        <x:f>"qid:-8286966211355378010"</x:f>
        <x:v>qid:-8286966211355378010</x:v>
      </x:c>
      <x:c r="C415" s="14" t="str">
        <x:v>What is the objective of tour de france?</x:v>
      </x:c>
      <x:c r="D415" s="14" t="str">
        <x:v>atomic</x:v>
      </x:c>
      <x:c r="E415" s="14" t="str">
        <x:v>The Tour de France aims to identify the top professional bicycle racer.</x:v>
      </x:c>
      <x:c r="F415" s="14" t="str">
        <x:v>The objective of the Tour de France is to determine the best professional bicycle racer</x:v>
      </x:c>
      <x:c r="G415" s="14" t="n">
        <x:v>1</x:v>
      </x:c>
      <x:c r="H415" s="14" t="n">
        <x:v>1</x:v>
      </x:c>
      <x:c r="I415" s="53" t="b">
        <x:v>1</x:v>
      </x:c>
      <x:c r="J415" s="14" t="str"/>
      <x:c r="K415" s="14" t="str"/>
    </x:row>
    <x:row r="416">
      <x:c r="A416" t="str">
        <x:v>a2_new_minus_old_on_new_a1</x:v>
      </x:c>
      <x:c r="B416" t="str">
        <x:f>"qid:-8286966211355378010"</x:f>
        <x:v>qid:-8286966211355378010</x:v>
      </x:c>
      <x:c r="C416" s="14" t="str">
        <x:v>What is the objective of tour de france?</x:v>
      </x:c>
      <x:c r="D416" s="14" t="str">
        <x:v>self_contained</x:v>
      </x:c>
      <x:c r="E416" s="14" t="str">
        <x:v>The Tour de France aims to identify the top professional bicycle racer.</x:v>
      </x:c>
      <x:c r="F416" s="14" t="str">
        <x:v>The objective of the Tour de France is to determine the best professional bicycle racer</x:v>
      </x:c>
      <x:c r="G416" s="14" t="n">
        <x:v>1</x:v>
      </x:c>
      <x:c r="H416" s="14" t="n">
        <x:v>1</x:v>
      </x:c>
      <x:c r="I416" s="53" t="b">
        <x:v>1</x:v>
      </x:c>
      <x:c r="J416" s="14" t="str"/>
      <x:c r="K416" s="14" t="str"/>
    </x:row>
    <x:row r="417">
      <x:c r="A417" t="str">
        <x:v>a2_new_minus_old_on_new_a1</x:v>
      </x:c>
      <x:c r="B417" t="str">
        <x:f>"qid:-8286966211355378010"</x:f>
        <x:v>qid:-8286966211355378010</x:v>
      </x:c>
      <x:c r="C417" s="14" t="str">
        <x:v>What is the objective of tour de france?</x:v>
      </x:c>
      <x:c r="D417" s="14" t="str">
        <x:v>span_aligned</x:v>
      </x:c>
      <x:c r="E417" s="14" t="str">
        <x:v>The Tour de France aims to identify the top professional bicycle racer.</x:v>
      </x:c>
      <x:c r="F417" s="14" t="str">
        <x:v>The objective of the Tour de France is to determine the best professional bicycle racer</x:v>
      </x:c>
      <x:c r="G417" s="14" t="n">
        <x:v>1</x:v>
      </x:c>
      <x:c r="H417" s="14" t="n">
        <x:v>1</x:v>
      </x:c>
      <x:c r="I417" s="53" t="b">
        <x:v>1</x:v>
      </x:c>
      <x:c r="J417" s="14" t="str"/>
      <x:c r="K417" s="14" t="str"/>
    </x:row>
    <x:row r="418">
      <x:c r="A418" t="str">
        <x:v>a2_new_minus_old_on_new_a1</x:v>
      </x:c>
      <x:c r="B418" t="str">
        <x:f>"qid:-8286966211355378010"</x:f>
        <x:v>qid:-8286966211355378010</x:v>
      </x:c>
      <x:c r="C418" s="14" t="str">
        <x:v>What is the objective of tour de france?</x:v>
      </x:c>
      <x:c r="D418" s="14" t="str">
        <x:v>rewrite_faithful</x:v>
      </x:c>
      <x:c r="E418" s="14" t="str">
        <x:v>The Tour de France aims to identify the top professional bicycle racer.</x:v>
      </x:c>
      <x:c r="F418" s="14" t="str">
        <x:v>The objective of the Tour de France is to determine the best professional bicycle racer</x:v>
      </x:c>
      <x:c r="G418" s="14" t="n">
        <x:v>1</x:v>
      </x:c>
      <x:c r="H418" s="14" t="n">
        <x:v>1</x:v>
      </x:c>
      <x:c r="I418" s="53" t="b">
        <x:v>1</x:v>
      </x:c>
      <x:c r="J418" s="14" t="str"/>
      <x:c r="K418" s="14" t="str"/>
    </x:row>
    <x:row r="419">
      <x:c r="A419" t="str">
        <x:v>a2_new_minus_old_on_new_a1</x:v>
      </x:c>
      <x:c r="B419" t="str">
        <x:f>"qid:-8286966211355378010"</x:f>
        <x:v>qid:-8286966211355378010</x:v>
      </x:c>
      <x:c r="C419" s="14" t="str">
        <x:v>What is the objective of tour de france?</x:v>
      </x:c>
      <x:c r="D419" s="14" t="str">
        <x:v>atomic</x:v>
      </x:c>
      <x:c r="E419" s="14" t="str">
        <x:v>The Tour de France spans a total of 23 days.</x:v>
      </x:c>
      <x:c r="F419" s="14" t="str">
        <x:v>over 23 days</x:v>
      </x:c>
      <x:c r="G419" s="14" t="n">
        <x:v>1</x:v>
      </x:c>
      <x:c r="H419" s="14" t="n">
        <x:v>1</x:v>
      </x:c>
      <x:c r="I419" s="53" t="b">
        <x:v>1</x:v>
      </x:c>
      <x:c r="J419" s="14" t="str">
        <x:v>span_misaligned;meaning_changed</x:v>
      </x:c>
      <x:c r="K419" s="14" t="str">
        <x:v>span_misaligned;meaning_changed</x:v>
      </x:c>
    </x:row>
    <x:row r="420">
      <x:c r="A420" t="str">
        <x:v>a2_new_minus_old_on_new_a1</x:v>
      </x:c>
      <x:c r="B420" t="str">
        <x:f>"qid:-8286966211355378010"</x:f>
        <x:v>qid:-8286966211355378010</x:v>
      </x:c>
      <x:c r="C420" s="14" t="str">
        <x:v>What is the objective of tour de france?</x:v>
      </x:c>
      <x:c r="D420" s="14" t="str">
        <x:v>self_contained</x:v>
      </x:c>
      <x:c r="E420" s="14" t="str">
        <x:v>The Tour de France spans a total of 23 days.</x:v>
      </x:c>
      <x:c r="F420" s="14" t="str">
        <x:v>over 23 days</x:v>
      </x:c>
      <x:c r="G420" s="14" t="n">
        <x:v>1</x:v>
      </x:c>
      <x:c r="H420" s="14" t="n">
        <x:v>1</x:v>
      </x:c>
      <x:c r="I420" s="53" t="b">
        <x:v>1</x:v>
      </x:c>
      <x:c r="J420" s="14" t="str">
        <x:v>span_misaligned;meaning_changed</x:v>
      </x:c>
      <x:c r="K420" s="14" t="str">
        <x:v>span_misaligned;meaning_changed</x:v>
      </x:c>
    </x:row>
    <x:row r="421">
      <x:c r="A421" t="str">
        <x:v>a2_new_minus_old_on_new_a1</x:v>
      </x:c>
      <x:c r="B421" t="str">
        <x:f>"qid:-8286966211355378010"</x:f>
        <x:v>qid:-8286966211355378010</x:v>
      </x:c>
      <x:c r="C421" s="14" t="str">
        <x:v>What is the objective of tour de france?</x:v>
      </x:c>
      <x:c r="D421" s="14" t="str">
        <x:v>span_aligned</x:v>
      </x:c>
      <x:c r="E421" s="14" t="str">
        <x:v>The Tour de France spans a total of 23 days.</x:v>
      </x:c>
      <x:c r="F421" s="14" t="str">
        <x:v>over 23 days</x:v>
      </x:c>
      <x:c r="G421" s="14" t="n">
        <x:v>0</x:v>
      </x:c>
      <x:c r="H421" s="14" t="n">
        <x:v>0</x:v>
      </x:c>
      <x:c r="I421" s="53" t="b">
        <x:v>1</x:v>
      </x:c>
      <x:c r="J421" s="14" t="str">
        <x:v>span_misaligned;meaning_changed</x:v>
      </x:c>
      <x:c r="K421" s="14" t="str">
        <x:v>span_misaligned;meaning_changed</x:v>
      </x:c>
    </x:row>
    <x:row r="422">
      <x:c r="A422" t="str">
        <x:v>a2_new_minus_old_on_new_a1</x:v>
      </x:c>
      <x:c r="B422" t="str">
        <x:f>"qid:-8286966211355378010"</x:f>
        <x:v>qid:-8286966211355378010</x:v>
      </x:c>
      <x:c r="C422" s="14" t="str">
        <x:v>What is the objective of tour de france?</x:v>
      </x:c>
      <x:c r="D422" s="14" t="str">
        <x:v>rewrite_faithful</x:v>
      </x:c>
      <x:c r="E422" s="14" t="str">
        <x:v>The Tour de France spans a total of 23 days.</x:v>
      </x:c>
      <x:c r="F422" s="14" t="str">
        <x:v>over 23 days</x:v>
      </x:c>
      <x:c r="G422" s="14" t="n">
        <x:v>0</x:v>
      </x:c>
      <x:c r="H422" s="14" t="n">
        <x:v>0</x:v>
      </x:c>
      <x:c r="I422" s="53" t="b">
        <x:v>1</x:v>
      </x:c>
      <x:c r="J422" s="14" t="str">
        <x:v>span_misaligned;meaning_changed</x:v>
      </x:c>
      <x:c r="K422" s="14" t="str">
        <x:v>span_misaligned;meaning_changed</x:v>
      </x:c>
    </x:row>
    <x:row r="423">
      <x:c r="A423" t="str">
        <x:v>a2_new_minus_old_on_new_a1</x:v>
      </x:c>
      <x:c r="B423" t="str">
        <x:f>"qid:-8286966211355378010"</x:f>
        <x:v>qid:-8286966211355378010</x:v>
      </x:c>
      <x:c r="C423" s="14" t="str">
        <x:v>What is the objective of tour de france?</x:v>
      </x:c>
      <x:c r="D423" s="14" t="str">
        <x:v>atomic</x:v>
      </x:c>
      <x:c r="E423" s="14" t="str">
        <x:v>The competition consists of multiple stages, each lasting a day.</x:v>
      </x:c>
      <x:c r="F423" s="14" t="str">
        <x:v>through a series of day-long stages</x:v>
      </x:c>
      <x:c r="G423" s="14" t="n">
        <x:v>1</x:v>
      </x:c>
      <x:c r="H423" s="14" t="n">
        <x:v>1</x:v>
      </x:c>
      <x:c r="I423" s="53" t="b">
        <x:v>1</x:v>
      </x:c>
      <x:c r="J423" s="14" t="str">
        <x:v>unresolved_reference;span_misaligned;meaning_changed</x:v>
      </x:c>
      <x:c r="K423" s="14" t="str"/>
    </x:row>
    <x:row r="424">
      <x:c r="A424" t="str">
        <x:v>a2_new_minus_old_on_new_a1</x:v>
      </x:c>
      <x:c r="B424" t="str">
        <x:f>"qid:-8286966211355378010"</x:f>
        <x:v>qid:-8286966211355378010</x:v>
      </x:c>
      <x:c r="C424" s="14" t="str">
        <x:v>What is the objective of tour de france?</x:v>
      </x:c>
      <x:c r="D424" s="14" t="str">
        <x:v>self_contained</x:v>
      </x:c>
      <x:c r="E424" s="14" t="str">
        <x:v>The competition consists of multiple stages, each lasting a day.</x:v>
      </x:c>
      <x:c r="F424" s="14" t="str">
        <x:v>through a series of day-long stages</x:v>
      </x:c>
      <x:c r="G424" s="14" t="n">
        <x:v>0</x:v>
      </x:c>
      <x:c r="H424" s="14" t="n">
        <x:v>1</x:v>
      </x:c>
      <x:c r="I424" s="53" t="b">
        <x:v>0</x:v>
      </x:c>
      <x:c r="J424" s="14" t="str">
        <x:v>unresolved_reference;span_misaligned;meaning_changed</x:v>
      </x:c>
      <x:c r="K424" s="14" t="str"/>
    </x:row>
    <x:row r="425">
      <x:c r="A425" t="str">
        <x:v>a2_new_minus_old_on_new_a1</x:v>
      </x:c>
      <x:c r="B425" t="str">
        <x:f>"qid:-8286966211355378010"</x:f>
        <x:v>qid:-8286966211355378010</x:v>
      </x:c>
      <x:c r="C425" s="14" t="str">
        <x:v>What is the objective of tour de france?</x:v>
      </x:c>
      <x:c r="D425" s="14" t="str">
        <x:v>span_aligned</x:v>
      </x:c>
      <x:c r="E425" s="14" t="str">
        <x:v>The competition consists of multiple stages, each lasting a day.</x:v>
      </x:c>
      <x:c r="F425" s="14" t="str">
        <x:v>through a series of day-long stages</x:v>
      </x:c>
      <x:c r="G425" s="14" t="n">
        <x:v>0</x:v>
      </x:c>
      <x:c r="H425" s="14" t="n">
        <x:v>1</x:v>
      </x:c>
      <x:c r="I425" s="53" t="b">
        <x:v>0</x:v>
      </x:c>
      <x:c r="J425" s="14" t="str">
        <x:v>unresolved_reference;span_misaligned;meaning_changed</x:v>
      </x:c>
      <x:c r="K425" s="14" t="str"/>
    </x:row>
    <x:row r="426">
      <x:c r="A426" t="str">
        <x:v>a2_new_minus_old_on_new_a1</x:v>
      </x:c>
      <x:c r="B426" t="str">
        <x:f>"qid:-8286966211355378010"</x:f>
        <x:v>qid:-8286966211355378010</x:v>
      </x:c>
      <x:c r="C426" s="14" t="str">
        <x:v>What is the objective of tour de france?</x:v>
      </x:c>
      <x:c r="D426" s="14" t="str">
        <x:v>rewrite_faithful</x:v>
      </x:c>
      <x:c r="E426" s="14" t="str">
        <x:v>The competition consists of multiple stages, each lasting a day.</x:v>
      </x:c>
      <x:c r="F426" s="14" t="str">
        <x:v>through a series of day-long stages</x:v>
      </x:c>
      <x:c r="G426" s="14" t="n">
        <x:v>0</x:v>
      </x:c>
      <x:c r="H426" s="14" t="n">
        <x:v>1</x:v>
      </x:c>
      <x:c r="I426" s="53" t="b">
        <x:v>0</x:v>
      </x:c>
      <x:c r="J426" s="14" t="str">
        <x:v>unresolved_reference;span_misaligned;meaning_changed</x:v>
      </x:c>
      <x:c r="K426" s="14" t="str"/>
    </x:row>
    <x:row r="427">
      <x:c r="A427" t="str">
        <x:v>a2_new_minus_old_on_new_a1</x:v>
      </x:c>
      <x:c r="B427" t="str">
        <x:f>"qid:-9141149438582194391"</x:f>
        <x:v>qid:-9141149438582194391</x:v>
      </x:c>
      <x:c r="C427" s="14" t="str">
        <x:v>Who has scored the highest number of runs in test cricket?</x:v>
      </x:c>
      <x:c r="D427" s="14" t="str">
        <x:v>self_contained</x:v>
      </x:c>
      <x:c r="E427" s="14" t="str">
        <x:v>Evidence [2] identifies a player who has scored more than 30,000 runs across Tests, ODIs, and T20Is.</x:v>
      </x:c>
      <x:c r="F427" s="14" t="str">
        <x:v>The evidence [2] states that the player in question is the only individual to have scored more than 30,000 runs in all forms of international cricket (Tests, ODIs, and Twenty20 Internationals).</x:v>
      </x:c>
      <x:c r="G427" s="14" t="n">
        <x:v>1</x:v>
      </x:c>
      <x:c r="H427" s="14" t="n">
        <x:v>1</x:v>
      </x:c>
      <x:c r="I427" s="53" t="b">
        <x:v>1</x:v>
      </x:c>
      <x:c r="J427" s="14" t="str">
        <x:v>meta_nonclaim</x:v>
      </x:c>
      <x:c r="K427" s="14" t="str">
        <x:v>meta_nonclaim</x:v>
      </x:c>
    </x:row>
    <x:row r="428">
      <x:c r="A428" t="str">
        <x:v>a2_new_minus_old_on_new_a1</x:v>
      </x:c>
      <x:c r="B428" t="str">
        <x:f>"qid:-9141149438582194391"</x:f>
        <x:v>qid:-9141149438582194391</x:v>
      </x:c>
      <x:c r="C428" s="14" t="str">
        <x:v>Who has scored the highest number of runs in test cricket?</x:v>
      </x:c>
      <x:c r="D428" s="14" t="str">
        <x:v>span_aligned</x:v>
      </x:c>
      <x:c r="E428" s="14" t="str">
        <x:v>Evidence [2] identifies a player who has scored more than 30,000 runs across Tests, ODIs, and T20Is.</x:v>
      </x:c>
      <x:c r="F428" s="14" t="str">
        <x:v>The evidence [2] states that the player in question is the only individual to have scored more than 30,000 runs in all forms of international cricket (Tests, ODIs, and Twenty20 Internationals).</x:v>
      </x:c>
      <x:c r="G428" s="14" t="n">
        <x:v>1</x:v>
      </x:c>
      <x:c r="H428" s="14" t="n">
        <x:v>1</x:v>
      </x:c>
      <x:c r="I428" s="53" t="b">
        <x:v>1</x:v>
      </x:c>
      <x:c r="J428" s="14" t="str">
        <x:v>meta_nonclaim</x:v>
      </x:c>
      <x:c r="K428" s="14" t="str">
        <x:v>meta_nonclaim</x:v>
      </x:c>
    </x:row>
    <x:row r="429">
      <x:c r="A429" t="str">
        <x:v>a2_new_minus_old_on_new_a1</x:v>
      </x:c>
      <x:c r="B429" t="str">
        <x:f>"qid:-9141149438582194391"</x:f>
        <x:v>qid:-9141149438582194391</x:v>
      </x:c>
      <x:c r="C429" s="14" t="str">
        <x:v>Who has scored the highest number of runs in test cricket?</x:v>
      </x:c>
      <x:c r="D429" s="14" t="str">
        <x:v>rewrite_faithful</x:v>
      </x:c>
      <x:c r="E429" s="14" t="str">
        <x:v>Evidence [2] identifies a player who has scored more than 30,000 runs across Tests, ODIs, and T20Is.</x:v>
      </x:c>
      <x:c r="F429" s="14" t="str">
        <x:v>The evidence [2] states that the player in question is the only individual to have scored more than 30,000 runs in all forms of international cricket (Tests, ODIs, and Twenty20 Internationals).</x:v>
      </x:c>
      <x:c r="G429" s="14" t="n">
        <x:v>1</x:v>
      </x:c>
      <x:c r="H429" s="14" t="n">
        <x:v>1</x:v>
      </x:c>
      <x:c r="I429" s="53" t="b">
        <x:v>1</x:v>
      </x:c>
      <x:c r="J429" s="14" t="str">
        <x:v>meta_nonclaim</x:v>
      </x:c>
      <x:c r="K429" s="14" t="str">
        <x:v>meta_nonclaim</x:v>
      </x:c>
    </x:row>
    <x:row r="430">
      <x:c r="A430" t="str">
        <x:v>a2_new_minus_old_on_new_a1</x:v>
      </x:c>
      <x:c r="B430" t="str">
        <x:f>"qid:-9141149438582194391"</x:f>
        <x:v>qid:-9141149438582194391</x:v>
      </x:c>
      <x:c r="C430" s="14" t="str">
        <x:v>Who has scored the highest number of runs in test cricket?</x:v>
      </x:c>
      <x:c r="D430" s="14" t="str">
        <x:v>self_contained</x:v>
      </x:c>
      <x:c r="E430" s="14" t="str">
        <x:v>The same evidence [2] notes that this player was the first Indian to surpass 30,000 international runs.</x:v>
      </x:c>
      <x:c r="F430" s="14" t="str">
        <x:v>[2] specifically mentions this player as the first Indian to achieve this feat.</x:v>
      </x:c>
      <x:c r="G430" s="14" t="n">
        <x:v>1</x:v>
      </x:c>
      <x:c r="H430" s="14" t="n">
        <x:v>1</x:v>
      </x:c>
      <x:c r="I430" s="53" t="b">
        <x:v>1</x:v>
      </x:c>
      <x:c r="J430" s="14" t="str">
        <x:v>meta_nonclaim;span_misaligned;meaning_changed</x:v>
      </x:c>
      <x:c r="K430" s="14" t="str">
        <x:v>meta_nonclaim;span_misaligned;meaning_changed</x:v>
      </x:c>
    </x:row>
    <x:row r="431">
      <x:c r="A431" t="str">
        <x:v>a2_new_minus_old_on_new_a1</x:v>
      </x:c>
      <x:c r="B431" t="str">
        <x:f>"qid:-9141149438582194391"</x:f>
        <x:v>qid:-9141149438582194391</x:v>
      </x:c>
      <x:c r="C431" s="14" t="str">
        <x:v>Who has scored the highest number of runs in test cricket?</x:v>
      </x:c>
      <x:c r="D431" s="14" t="str">
        <x:v>span_aligned</x:v>
      </x:c>
      <x:c r="E431" s="14" t="str">
        <x:v>The same evidence [2] notes that this player was the first Indian to surpass 30,000 international runs.</x:v>
      </x:c>
      <x:c r="F431" s="14" t="str">
        <x:v>[2] specifically mentions this player as the first Indian to achieve this feat.</x:v>
      </x:c>
      <x:c r="G431" s="14" t="n">
        <x:v>0</x:v>
      </x:c>
      <x:c r="H431" s="14" t="n">
        <x:v>0</x:v>
      </x:c>
      <x:c r="I431" s="53" t="b">
        <x:v>1</x:v>
      </x:c>
      <x:c r="J431" s="14" t="str">
        <x:v>meta_nonclaim;span_misaligned;meaning_changed</x:v>
      </x:c>
      <x:c r="K431" s="14" t="str">
        <x:v>meta_nonclaim;span_misaligned;meaning_changed</x:v>
      </x:c>
    </x:row>
    <x:row r="432">
      <x:c r="A432" t="str">
        <x:v>a2_new_minus_old_on_new_a1</x:v>
      </x:c>
      <x:c r="B432" t="str">
        <x:f>"qid:-9141149438582194391"</x:f>
        <x:v>qid:-9141149438582194391</x:v>
      </x:c>
      <x:c r="C432" s="14" t="str">
        <x:v>Who has scored the highest number of runs in test cricket?</x:v>
      </x:c>
      <x:c r="D432" s="14" t="str">
        <x:v>rewrite_faithful</x:v>
      </x:c>
      <x:c r="E432" s="14" t="str">
        <x:v>The same evidence [2] notes that this player was the first Indian to surpass 30,000 international runs.</x:v>
      </x:c>
      <x:c r="F432" s="14" t="str">
        <x:v>[2] specifically mentions this player as the first Indian to achieve this feat.</x:v>
      </x:c>
      <x:c r="G432" s="14" t="n">
        <x:v>0</x:v>
      </x:c>
      <x:c r="H432" s="14" t="n">
        <x:v>0</x:v>
      </x:c>
      <x:c r="I432" s="53" t="b">
        <x:v>1</x:v>
      </x:c>
      <x:c r="J432" s="14" t="str">
        <x:v>meta_nonclaim;span_misaligned;meaning_changed</x:v>
      </x:c>
      <x:c r="K432" s="14" t="str">
        <x:v>meta_nonclaim;span_misaligned;meaning_changed</x:v>
      </x:c>
    </x:row>
    <x:row r="433">
      <x:c r="A433" t="str">
        <x:v>a2_new_minus_old_on_new_a1</x:v>
      </x:c>
      <x:c r="B433" t="str">
        <x:f>"qid:-99543908387769967"</x:f>
        <x:v>qid:-99543908387769967</x:v>
      </x:c>
      <x:c r="C433" s="14" t="str">
        <x:v>Who does sansa marry on game of thrones?</x:v>
      </x:c>
      <x:c r="D433" s="14" t="str">
        <x:v>atomic</x:v>
      </x:c>
      <x:c r="E433" s="14" t="str">
        <x:v>Sansa Stark is married to Ramsay Bolton in the television series Game of Thrones.</x:v>
      </x:c>
      <x:c r="F433" s="14" t="str">
        <x:v>Sansa Stark marries Ramsay Bolton</x:v>
      </x:c>
      <x:c r="G433" s="14" t="n">
        <x:v>1</x:v>
      </x:c>
      <x:c r="H433" s="14" t="n">
        <x:v>1</x:v>
      </x:c>
      <x:c r="I433" s="53" t="b">
        <x:v>1</x:v>
      </x:c>
      <x:c r="J433" s="14" t="str">
        <x:v>span_misaligned;meaning_changed</x:v>
      </x:c>
      <x:c r="K433" s="14" t="str">
        <x:v>span_misaligned;meaning_changed</x:v>
      </x:c>
    </x:row>
    <x:row r="434">
      <x:c r="A434" t="str">
        <x:v>a2_new_minus_old_on_new_a1</x:v>
      </x:c>
      <x:c r="B434" t="str">
        <x:f>"qid:-99543908387769967"</x:f>
        <x:v>qid:-99543908387769967</x:v>
      </x:c>
      <x:c r="C434" s="14" t="str">
        <x:v>Who does sansa marry on game of thrones?</x:v>
      </x:c>
      <x:c r="D434" s="14" t="str">
        <x:v>self_contained</x:v>
      </x:c>
      <x:c r="E434" s="14" t="str">
        <x:v>Sansa Stark is married to Ramsay Bolton in the television series Game of Thrones.</x:v>
      </x:c>
      <x:c r="F434" s="14" t="str">
        <x:v>Sansa Stark marries Ramsay Bolton</x:v>
      </x:c>
      <x:c r="G434" s="14" t="n">
        <x:v>1</x:v>
      </x:c>
      <x:c r="H434" s="14" t="n">
        <x:v>1</x:v>
      </x:c>
      <x:c r="I434" s="53" t="b">
        <x:v>1</x:v>
      </x:c>
      <x:c r="J434" s="14" t="str">
        <x:v>span_misaligned;meaning_changed</x:v>
      </x:c>
      <x:c r="K434" s="14" t="str">
        <x:v>span_misaligned;meaning_changed</x:v>
      </x:c>
    </x:row>
    <x:row r="435">
      <x:c r="A435" t="str">
        <x:v>a2_new_minus_old_on_new_a1</x:v>
      </x:c>
      <x:c r="B435" t="str">
        <x:f>"qid:-99543908387769967"</x:f>
        <x:v>qid:-99543908387769967</x:v>
      </x:c>
      <x:c r="C435" s="14" t="str">
        <x:v>Who does sansa marry on game of thrones?</x:v>
      </x:c>
      <x:c r="D435" s="14" t="str">
        <x:v>span_aligned</x:v>
      </x:c>
      <x:c r="E435" s="14" t="str">
        <x:v>Sansa Stark is married to Ramsay Bolton in the television series Game of Thrones.</x:v>
      </x:c>
      <x:c r="F435" s="14" t="str">
        <x:v>Sansa Stark marries Ramsay Bolton</x:v>
      </x:c>
      <x:c r="G435" s="14" t="n">
        <x:v>0</x:v>
      </x:c>
      <x:c r="H435" s="14" t="n">
        <x:v>0</x:v>
      </x:c>
      <x:c r="I435" s="53" t="b">
        <x:v>1</x:v>
      </x:c>
      <x:c r="J435" s="14" t="str">
        <x:v>span_misaligned;meaning_changed</x:v>
      </x:c>
      <x:c r="K435" s="14" t="str">
        <x:v>span_misaligned;meaning_changed</x:v>
      </x:c>
    </x:row>
    <x:row r="436">
      <x:c r="A436" t="str">
        <x:v>a2_new_minus_old_on_new_a1</x:v>
      </x:c>
      <x:c r="B436" t="str">
        <x:f>"qid:-99543908387769967"</x:f>
        <x:v>qid:-99543908387769967</x:v>
      </x:c>
      <x:c r="C436" s="14" t="str">
        <x:v>Who does sansa marry on game of thrones?</x:v>
      </x:c>
      <x:c r="D436" s="14" t="str">
        <x:v>rewrite_faithful</x:v>
      </x:c>
      <x:c r="E436" s="14" t="str">
        <x:v>Sansa Stark is married to Ramsay Bolton in the television series Game of Thrones.</x:v>
      </x:c>
      <x:c r="F436" s="14" t="str">
        <x:v>Sansa Stark marries Ramsay Bolton</x:v>
      </x:c>
      <x:c r="G436" s="14" t="n">
        <x:v>0</x:v>
      </x:c>
      <x:c r="H436" s="14" t="n">
        <x:v>0</x:v>
      </x:c>
      <x:c r="I436" s="53" t="b">
        <x:v>1</x:v>
      </x:c>
      <x:c r="J436" s="14" t="str">
        <x:v>span_misaligned;meaning_changed</x:v>
      </x:c>
      <x:c r="K436" s="14" t="str">
        <x:v>span_misaligned;meaning_changed</x:v>
      </x:c>
    </x:row>
    <x:row r="437">
      <x:c r="A437" t="str">
        <x:v>a2_new_minus_old_on_new_a1</x:v>
      </x:c>
      <x:c r="B437" t="str">
        <x:f>"qid:16881061444712536"</x:f>
        <x:v>qid:16881061444712536</x:v>
      </x:c>
      <x:c r="C437" s="14" t="str">
        <x:v>Where does the amazon river start and finish?</x:v>
      </x:c>
      <x:c r="D437" s="14" t="str">
        <x:v>atomic</x:v>
      </x:c>
      <x:c r="E437" s="14" t="str">
        <x:v>The Amazon River flows into the Atlantic Ocean.</x:v>
      </x:c>
      <x:c r="F437" s="14" t="str">
        <x:v>The Amazon River finishes at the Atlantic Ocean</x:v>
      </x:c>
      <x:c r="G437" s="14" t="n">
        <x:v>1</x:v>
      </x:c>
      <x:c r="H437" s="14" t="n">
        <x:v>1</x:v>
      </x:c>
      <x:c r="I437" s="53" t="b">
        <x:v>1</x:v>
      </x:c>
      <x:c r="J437" s="14" t="str"/>
      <x:c r="K437" s="14" t="str"/>
    </x:row>
    <x:row r="438">
      <x:c r="A438" t="str">
        <x:v>a2_new_minus_old_on_new_a1</x:v>
      </x:c>
      <x:c r="B438" t="str">
        <x:f>"qid:16881061444712536"</x:f>
        <x:v>qid:16881061444712536</x:v>
      </x:c>
      <x:c r="C438" s="14" t="str">
        <x:v>Where does the amazon river start and finish?</x:v>
      </x:c>
      <x:c r="D438" s="14" t="str">
        <x:v>self_contained</x:v>
      </x:c>
      <x:c r="E438" s="14" t="str">
        <x:v>The Amazon River flows into the Atlantic Ocean.</x:v>
      </x:c>
      <x:c r="F438" s="14" t="str">
        <x:v>The Amazon River finishes at the Atlantic Ocean</x:v>
      </x:c>
      <x:c r="G438" s="14" t="n">
        <x:v>1</x:v>
      </x:c>
      <x:c r="H438" s="14" t="n">
        <x:v>1</x:v>
      </x:c>
      <x:c r="I438" s="53" t="b">
        <x:v>1</x:v>
      </x:c>
      <x:c r="J438" s="14" t="str"/>
      <x:c r="K438" s="14" t="str"/>
    </x:row>
    <x:row r="439">
      <x:c r="A439" t="str">
        <x:v>a2_new_minus_old_on_new_a1</x:v>
      </x:c>
      <x:c r="B439" t="str">
        <x:f>"qid:16881061444712536"</x:f>
        <x:v>qid:16881061444712536</x:v>
      </x:c>
      <x:c r="C439" s="14" t="str">
        <x:v>Where does the amazon river start and finish?</x:v>
      </x:c>
      <x:c r="D439" s="14" t="str">
        <x:v>span_aligned</x:v>
      </x:c>
      <x:c r="E439" s="14" t="str">
        <x:v>The Amazon River flows into the Atlantic Ocean.</x:v>
      </x:c>
      <x:c r="F439" s="14" t="str">
        <x:v>The Amazon River finishes at the Atlantic Ocean</x:v>
      </x:c>
      <x:c r="G439" s="14" t="n">
        <x:v>1</x:v>
      </x:c>
      <x:c r="H439" s="14" t="n">
        <x:v>1</x:v>
      </x:c>
      <x:c r="I439" s="53" t="b">
        <x:v>1</x:v>
      </x:c>
      <x:c r="J439" s="14" t="str"/>
      <x:c r="K439" s="14" t="str"/>
    </x:row>
    <x:row r="440">
      <x:c r="A440" t="str">
        <x:v>a2_new_minus_old_on_new_a1</x:v>
      </x:c>
      <x:c r="B440" t="str">
        <x:f>"qid:16881061444712536"</x:f>
        <x:v>qid:16881061444712536</x:v>
      </x:c>
      <x:c r="C440" s="14" t="str">
        <x:v>Where does the amazon river start and finish?</x:v>
      </x:c>
      <x:c r="D440" s="14" t="str">
        <x:v>rewrite_faithful</x:v>
      </x:c>
      <x:c r="E440" s="14" t="str">
        <x:v>The Amazon River flows into the Atlantic Ocean.</x:v>
      </x:c>
      <x:c r="F440" s="14" t="str">
        <x:v>The Amazon River finishes at the Atlantic Ocean</x:v>
      </x:c>
      <x:c r="G440" s="14" t="n">
        <x:v>1</x:v>
      </x:c>
      <x:c r="H440" s="14" t="n">
        <x:v>1</x:v>
      </x:c>
      <x:c r="I440" s="53" t="b">
        <x:v>1</x:v>
      </x:c>
      <x:c r="J440" s="14" t="str"/>
      <x:c r="K440" s="14" t="str"/>
    </x:row>
    <x:row r="441">
      <x:c r="A441" t="str">
        <x:v>a2_new_minus_old_on_new_a1</x:v>
      </x:c>
      <x:c r="B441" t="str">
        <x:f>"qid:16881061444712536"</x:f>
        <x:v>qid:16881061444712536</x:v>
      </x:c>
      <x:c r="C441" s="14" t="str">
        <x:v>Where does the amazon river start and finish?</x:v>
      </x:c>
      <x:c r="D441" s="14" t="str">
        <x:v>atomic</x:v>
      </x:c>
      <x:c r="E441" s="14" t="str">
        <x:v>The Amazon River originates at the headwaters of the Cordillera Rumi Cruz mountain range located in Peru.</x:v>
      </x:c>
      <x:c r="F441" s="14" t="str">
        <x:v>The Amazon River starts at the headwaters of the Cordillera Rumi Cruz in Peru</x:v>
      </x:c>
      <x:c r="G441" s="14" t="n">
        <x:v>1</x:v>
      </x:c>
      <x:c r="H441" s="14" t="n">
        <x:v>1</x:v>
      </x:c>
      <x:c r="I441" s="53" t="b">
        <x:v>1</x:v>
      </x:c>
      <x:c r="J441" s="14" t="str"/>
      <x:c r="K441" s="14" t="str"/>
    </x:row>
    <x:row r="442">
      <x:c r="A442" t="str">
        <x:v>a2_new_minus_old_on_new_a1</x:v>
      </x:c>
      <x:c r="B442" t="str">
        <x:f>"qid:16881061444712536"</x:f>
        <x:v>qid:16881061444712536</x:v>
      </x:c>
      <x:c r="C442" s="14" t="str">
        <x:v>Where does the amazon river start and finish?</x:v>
      </x:c>
      <x:c r="D442" s="14" t="str">
        <x:v>self_contained</x:v>
      </x:c>
      <x:c r="E442" s="14" t="str">
        <x:v>The Amazon River originates at the headwaters of the Cordillera Rumi Cruz mountain range located in Peru.</x:v>
      </x:c>
      <x:c r="F442" s="14" t="str">
        <x:v>The Amazon River starts at the headwaters of the Cordillera Rumi Cruz in Peru</x:v>
      </x:c>
      <x:c r="G442" s="14" t="n">
        <x:v>1</x:v>
      </x:c>
      <x:c r="H442" s="14" t="n">
        <x:v>1</x:v>
      </x:c>
      <x:c r="I442" s="53" t="b">
        <x:v>1</x:v>
      </x:c>
      <x:c r="J442" s="14" t="str"/>
      <x:c r="K442" s="14" t="str"/>
    </x:row>
    <x:row r="443">
      <x:c r="A443" t="str">
        <x:v>a2_new_minus_old_on_new_a1</x:v>
      </x:c>
      <x:c r="B443" t="str">
        <x:f>"qid:16881061444712536"</x:f>
        <x:v>qid:16881061444712536</x:v>
      </x:c>
      <x:c r="C443" s="14" t="str">
        <x:v>Where does the amazon river start and finish?</x:v>
      </x:c>
      <x:c r="D443" s="14" t="str">
        <x:v>span_aligned</x:v>
      </x:c>
      <x:c r="E443" s="14" t="str">
        <x:v>The Amazon River originates at the headwaters of the Cordillera Rumi Cruz mountain range located in Peru.</x:v>
      </x:c>
      <x:c r="F443" s="14" t="str">
        <x:v>The Amazon River starts at the headwaters of the Cordillera Rumi Cruz in Peru</x:v>
      </x:c>
      <x:c r="G443" s="14" t="n">
        <x:v>1</x:v>
      </x:c>
      <x:c r="H443" s="14" t="n">
        <x:v>1</x:v>
      </x:c>
      <x:c r="I443" s="53" t="b">
        <x:v>1</x:v>
      </x:c>
      <x:c r="J443" s="14" t="str"/>
      <x:c r="K443" s="14" t="str"/>
    </x:row>
    <x:row r="444">
      <x:c r="A444" t="str">
        <x:v>a2_new_minus_old_on_new_a1</x:v>
      </x:c>
      <x:c r="B444" t="str">
        <x:f>"qid:16881061444712536"</x:f>
        <x:v>qid:16881061444712536</x:v>
      </x:c>
      <x:c r="C444" s="14" t="str">
        <x:v>Where does the amazon river start and finish?</x:v>
      </x:c>
      <x:c r="D444" s="14" t="str">
        <x:v>rewrite_faithful</x:v>
      </x:c>
      <x:c r="E444" s="14" t="str">
        <x:v>The Amazon River originates at the headwaters of the Cordillera Rumi Cruz mountain range located in Peru.</x:v>
      </x:c>
      <x:c r="F444" s="14" t="str">
        <x:v>The Amazon River starts at the headwaters of the Cordillera Rumi Cruz in Peru</x:v>
      </x:c>
      <x:c r="G444" s="14" t="n">
        <x:v>1</x:v>
      </x:c>
      <x:c r="H444" s="14" t="n">
        <x:v>1</x:v>
      </x:c>
      <x:c r="I444" s="53" t="b">
        <x:v>1</x:v>
      </x:c>
      <x:c r="J444" s="14" t="str"/>
      <x:c r="K444" s="14" t="str"/>
    </x:row>
    <x:row r="445">
      <x:c r="A445" t="str">
        <x:v>a2_new_minus_old_on_new_a1</x:v>
      </x:c>
      <x:c r="B445" t="str">
        <x:f>"qid:1763163294931046731"</x:f>
        <x:v>qid:1763163294931046731</x:v>
      </x:c>
      <x:c r="C445" s="14" t="str">
        <x:v>Who played violet rutherford on leave it to beaver?</x:v>
      </x:c>
      <x:c r="D445" s="14" t="str">
        <x:v>atomic</x:v>
      </x:c>
      <x:c r="E445" s="14" t="str">
        <x:v>Veronica Cartwright portrayed the character Violet Rutherford in the television series "Leave It to Beaver".</x:v>
      </x:c>
      <x:c r="F445" s="14" t="str">
        <x:v>Veronica Cartwright played Violet Rutherford on "Leave It to Beaver"</x:v>
      </x:c>
      <x:c r="G445" s="14" t="n">
        <x:v>1</x:v>
      </x:c>
      <x:c r="H445" s="14" t="n">
        <x:v>1</x:v>
      </x:c>
      <x:c r="I445" s="53" t="b">
        <x:v>1</x:v>
      </x:c>
      <x:c r="J445" s="14" t="str"/>
      <x:c r="K445" s="14" t="str"/>
    </x:row>
    <x:row r="446">
      <x:c r="A446" t="str">
        <x:v>a2_new_minus_old_on_new_a1</x:v>
      </x:c>
      <x:c r="B446" t="str">
        <x:f>"qid:1763163294931046731"</x:f>
        <x:v>qid:1763163294931046731</x:v>
      </x:c>
      <x:c r="C446" s="14" t="str">
        <x:v>Who played violet rutherford on leave it to beaver?</x:v>
      </x:c>
      <x:c r="D446" s="14" t="str">
        <x:v>self_contained</x:v>
      </x:c>
      <x:c r="E446" s="14" t="str">
        <x:v>Veronica Cartwright portrayed the character Violet Rutherford in the television series "Leave It to Beaver".</x:v>
      </x:c>
      <x:c r="F446" s="14" t="str">
        <x:v>Veronica Cartwright played Violet Rutherford on "Leave It to Beaver"</x:v>
      </x:c>
      <x:c r="G446" s="14" t="n">
        <x:v>1</x:v>
      </x:c>
      <x:c r="H446" s="14" t="n">
        <x:v>1</x:v>
      </x:c>
      <x:c r="I446" s="53" t="b">
        <x:v>1</x:v>
      </x:c>
      <x:c r="J446" s="14" t="str"/>
      <x:c r="K446" s="14" t="str"/>
    </x:row>
    <x:row r="447">
      <x:c r="A447" t="str">
        <x:v>a2_new_minus_old_on_new_a1</x:v>
      </x:c>
      <x:c r="B447" t="str">
        <x:f>"qid:1763163294931046731"</x:f>
        <x:v>qid:1763163294931046731</x:v>
      </x:c>
      <x:c r="C447" s="14" t="str">
        <x:v>Who played violet rutherford on leave it to beaver?</x:v>
      </x:c>
      <x:c r="D447" s="14" t="str">
        <x:v>span_aligned</x:v>
      </x:c>
      <x:c r="E447" s="14" t="str">
        <x:v>Veronica Cartwright portrayed the character Violet Rutherford in the television series "Leave It to Beaver".</x:v>
      </x:c>
      <x:c r="F447" s="14" t="str">
        <x:v>Veronica Cartwright played Violet Rutherford on "Leave It to Beaver"</x:v>
      </x:c>
      <x:c r="G447" s="14" t="n">
        <x:v>1</x:v>
      </x:c>
      <x:c r="H447" s="14" t="n">
        <x:v>1</x:v>
      </x:c>
      <x:c r="I447" s="53" t="b">
        <x:v>1</x:v>
      </x:c>
      <x:c r="J447" s="14" t="str"/>
      <x:c r="K447" s="14" t="str"/>
    </x:row>
    <x:row r="448">
      <x:c r="A448" t="str">
        <x:v>a2_new_minus_old_on_new_a1</x:v>
      </x:c>
      <x:c r="B448" t="str">
        <x:f>"qid:1763163294931046731"</x:f>
        <x:v>qid:1763163294931046731</x:v>
      </x:c>
      <x:c r="C448" s="14" t="str">
        <x:v>Who played violet rutherford on leave it to beaver?</x:v>
      </x:c>
      <x:c r="D448" s="14" t="str">
        <x:v>rewrite_faithful</x:v>
      </x:c>
      <x:c r="E448" s="14" t="str">
        <x:v>Veronica Cartwright portrayed the character Violet Rutherford in the television series "Leave It to Beaver".</x:v>
      </x:c>
      <x:c r="F448" s="14" t="str">
        <x:v>Veronica Cartwright played Violet Rutherford on "Leave It to Beaver"</x:v>
      </x:c>
      <x:c r="G448" s="14" t="n">
        <x:v>1</x:v>
      </x:c>
      <x:c r="H448" s="14" t="n">
        <x:v>1</x:v>
      </x:c>
      <x:c r="I448" s="53" t="b">
        <x:v>1</x:v>
      </x:c>
      <x:c r="J448" s="14" t="str"/>
      <x:c r="K448" s="14" t="str"/>
    </x:row>
    <x:row r="449">
      <x:c r="A449" t="str">
        <x:v>a2_new_minus_old_on_new_a1</x:v>
      </x:c>
      <x:c r="B449" t="str">
        <x:f>"qid:2221044921312683785"</x:f>
        <x:v>qid:2221044921312683785</x:v>
      </x:c>
      <x:c r="C449" s="14" t="str">
        <x:v>When did the apple tv 4k come out?</x:v>
      </x:c>
      <x:c r="D449" s="14" t="str">
        <x:v>atomic</x:v>
      </x:c>
      <x:c r="E449" s="14" t="str">
        <x:v>The Apple TV 4K model was officially announced by Apple on September 12, 2017.</x:v>
      </x:c>
      <x:c r="F449" s="14" t="str">
        <x:v>The 5th generation Apple TV, named Apple TV 4K, was announced on September 12, 2017</x:v>
      </x:c>
      <x:c r="G449" s="14" t="n">
        <x:v>1</x:v>
      </x:c>
      <x:c r="H449" s="14" t="n">
        <x:v>1</x:v>
      </x:c>
      <x:c r="I449" s="53" t="b">
        <x:v>1</x:v>
      </x:c>
      <x:c r="J449" s="14" t="str"/>
      <x:c r="K449" s="14" t="str">
        <x:v>meaning_changed</x:v>
      </x:c>
    </x:row>
    <x:row r="450">
      <x:c r="A450" t="str">
        <x:v>a2_new_minus_old_on_new_a1</x:v>
      </x:c>
      <x:c r="B450" t="str">
        <x:f>"qid:2221044921312683785"</x:f>
        <x:v>qid:2221044921312683785</x:v>
      </x:c>
      <x:c r="C450" s="14" t="str">
        <x:v>When did the apple tv 4k come out?</x:v>
      </x:c>
      <x:c r="D450" s="14" t="str">
        <x:v>self_contained</x:v>
      </x:c>
      <x:c r="E450" s="14" t="str">
        <x:v>The Apple TV 4K model was officially announced by Apple on September 12, 2017.</x:v>
      </x:c>
      <x:c r="F450" s="14" t="str">
        <x:v>The 5th generation Apple TV, named Apple TV 4K, was announced on September 12, 2017</x:v>
      </x:c>
      <x:c r="G450" s="14" t="n">
        <x:v>1</x:v>
      </x:c>
      <x:c r="H450" s="14" t="n">
        <x:v>1</x:v>
      </x:c>
      <x:c r="I450" s="53" t="b">
        <x:v>1</x:v>
      </x:c>
      <x:c r="J450" s="14" t="str"/>
      <x:c r="K450" s="14" t="str">
        <x:v>meaning_changed</x:v>
      </x:c>
    </x:row>
    <x:row r="451">
      <x:c r="A451" t="str">
        <x:v>a2_new_minus_old_on_new_a1</x:v>
      </x:c>
      <x:c r="B451" t="str">
        <x:f>"qid:2221044921312683785"</x:f>
        <x:v>qid:2221044921312683785</x:v>
      </x:c>
      <x:c r="C451" s="14" t="str">
        <x:v>When did the apple tv 4k come out?</x:v>
      </x:c>
      <x:c r="D451" s="14" t="str">
        <x:v>span_aligned</x:v>
      </x:c>
      <x:c r="E451" s="14" t="str">
        <x:v>The Apple TV 4K model was officially announced by Apple on September 12, 2017.</x:v>
      </x:c>
      <x:c r="F451" s="14" t="str">
        <x:v>The 5th generation Apple TV, named Apple TV 4K, was announced on September 12, 2017</x:v>
      </x:c>
      <x:c r="G451" s="14" t="n">
        <x:v>1</x:v>
      </x:c>
      <x:c r="H451" s="14" t="n">
        <x:v>1</x:v>
      </x:c>
      <x:c r="I451" s="53" t="b">
        <x:v>1</x:v>
      </x:c>
      <x:c r="J451" s="14" t="str"/>
      <x:c r="K451" s="14" t="str">
        <x:v>meaning_changed</x:v>
      </x:c>
    </x:row>
    <x:row r="452">
      <x:c r="A452" t="str">
        <x:v>a2_new_minus_old_on_new_a1</x:v>
      </x:c>
      <x:c r="B452" t="str">
        <x:f>"qid:2221044921312683785"</x:f>
        <x:v>qid:2221044921312683785</x:v>
      </x:c>
      <x:c r="C452" s="14" t="str">
        <x:v>When did the apple tv 4k come out?</x:v>
      </x:c>
      <x:c r="D452" s="14" t="str">
        <x:v>rewrite_faithful</x:v>
      </x:c>
      <x:c r="E452" s="14" t="str">
        <x:v>The Apple TV 4K model was officially announced by Apple on September 12, 2017.</x:v>
      </x:c>
      <x:c r="F452" s="14" t="str">
        <x:v>The 5th generation Apple TV, named Apple TV 4K, was announced on September 12, 2017</x:v>
      </x:c>
      <x:c r="G452" s="14" t="n">
        <x:v>1</x:v>
      </x:c>
      <x:c r="H452" s="14" t="n">
        <x:v>0</x:v>
      </x:c>
      <x:c r="I452" s="53" t="b">
        <x:v>0</x:v>
      </x:c>
      <x:c r="J452" s="14" t="str"/>
      <x:c r="K452" s="14" t="str">
        <x:v>meaning_changed</x:v>
      </x:c>
    </x:row>
    <x:row r="453">
      <x:c r="A453" t="str">
        <x:v>a2_new_minus_old_on_new_a1</x:v>
      </x:c>
      <x:c r="B453" t="str">
        <x:f>"qid:2469112227919120438"</x:f>
        <x:v>qid:2469112227919120438</x:v>
      </x:c>
      <x:c r="C453" s="14" t="str">
        <x:v>The creation of the senate was based on the?</x:v>
      </x:c>
      <x:c r="D453" s="14" t="str">
        <x:v>atomic</x:v>
      </x:c>
      <x:c r="E453" s="14" t="str">
        <x:v>The United States Senate was established by the United States Constitution.</x:v>
      </x:c>
      <x:c r="F453" s="14" t="str">
        <x:v>The creation of the United States Senate was based on the United States Constitution</x:v>
      </x:c>
      <x:c r="G453" s="14" t="n">
        <x:v>1</x:v>
      </x:c>
      <x:c r="H453" s="14" t="n">
        <x:v>1</x:v>
      </x:c>
      <x:c r="I453" s="53" t="b">
        <x:v>1</x:v>
      </x:c>
      <x:c r="J453" s="14" t="str"/>
      <x:c r="K453" s="14" t="str"/>
    </x:row>
    <x:row r="454">
      <x:c r="A454" t="str">
        <x:v>a2_new_minus_old_on_new_a1</x:v>
      </x:c>
      <x:c r="B454" t="str">
        <x:f>"qid:2469112227919120438"</x:f>
        <x:v>qid:2469112227919120438</x:v>
      </x:c>
      <x:c r="C454" s="14" t="str">
        <x:v>The creation of the senate was based on the?</x:v>
      </x:c>
      <x:c r="D454" s="14" t="str">
        <x:v>self_contained</x:v>
      </x:c>
      <x:c r="E454" s="14" t="str">
        <x:v>The United States Senate was established by the United States Constitution.</x:v>
      </x:c>
      <x:c r="F454" s="14" t="str">
        <x:v>The creation of the United States Senate was based on the United States Constitution</x:v>
      </x:c>
      <x:c r="G454" s="14" t="n">
        <x:v>1</x:v>
      </x:c>
      <x:c r="H454" s="14" t="n">
        <x:v>1</x:v>
      </x:c>
      <x:c r="I454" s="53" t="b">
        <x:v>1</x:v>
      </x:c>
      <x:c r="J454" s="14" t="str"/>
      <x:c r="K454" s="14" t="str"/>
    </x:row>
    <x:row r="455">
      <x:c r="A455" t="str">
        <x:v>a2_new_minus_old_on_new_a1</x:v>
      </x:c>
      <x:c r="B455" t="str">
        <x:f>"qid:2469112227919120438"</x:f>
        <x:v>qid:2469112227919120438</x:v>
      </x:c>
      <x:c r="C455" s="14" t="str">
        <x:v>The creation of the senate was based on the?</x:v>
      </x:c>
      <x:c r="D455" s="14" t="str">
        <x:v>span_aligned</x:v>
      </x:c>
      <x:c r="E455" s="14" t="str">
        <x:v>The United States Senate was established by the United States Constitution.</x:v>
      </x:c>
      <x:c r="F455" s="14" t="str">
        <x:v>The creation of the United States Senate was based on the United States Constitution</x:v>
      </x:c>
      <x:c r="G455" s="14" t="n">
        <x:v>1</x:v>
      </x:c>
      <x:c r="H455" s="14" t="n">
        <x:v>1</x:v>
      </x:c>
      <x:c r="I455" s="53" t="b">
        <x:v>1</x:v>
      </x:c>
      <x:c r="J455" s="14" t="str"/>
      <x:c r="K455" s="14" t="str"/>
    </x:row>
    <x:row r="456">
      <x:c r="A456" t="str">
        <x:v>a2_new_minus_old_on_new_a1</x:v>
      </x:c>
      <x:c r="B456" t="str">
        <x:f>"qid:2469112227919120438"</x:f>
        <x:v>qid:2469112227919120438</x:v>
      </x:c>
      <x:c r="C456" s="14" t="str">
        <x:v>The creation of the senate was based on the?</x:v>
      </x:c>
      <x:c r="D456" s="14" t="str">
        <x:v>rewrite_faithful</x:v>
      </x:c>
      <x:c r="E456" s="14" t="str">
        <x:v>The United States Senate was established by the United States Constitution.</x:v>
      </x:c>
      <x:c r="F456" s="14" t="str">
        <x:v>The creation of the United States Senate was based on the United States Constitution</x:v>
      </x:c>
      <x:c r="G456" s="14" t="n">
        <x:v>1</x:v>
      </x:c>
      <x:c r="H456" s="14" t="n">
        <x:v>1</x:v>
      </x:c>
      <x:c r="I456" s="53" t="b">
        <x:v>1</x:v>
      </x:c>
      <x:c r="J456" s="14" t="str"/>
      <x:c r="K456" s="14" t="str"/>
    </x:row>
    <x:row r="457">
      <x:c r="A457" t="str">
        <x:v>a2_new_minus_old_on_new_a1</x:v>
      </x:c>
      <x:c r="B457" t="str">
        <x:f>"qid:3605104154738105404"</x:f>
        <x:v>qid:3605104154738105404</x:v>
      </x:c>
      <x:c r="C457" s="14" t="str">
        <x:v>What episode does jason gideon die in criminal minds?</x:v>
      </x:c>
      <x:c r="D457" s="14" t="str">
        <x:v>atomic</x:v>
      </x:c>
      <x:c r="E457" s="14" t="str">
        <x:v>Jason Gideon character dies in the TV episode titled "Nelson's Sparrow" which is from Season 10.</x:v>
      </x:c>
      <x:c r="F457" s="14" t="str">
        <x:v>Jason Gideon dies in the Season 10 episode "Nelson's Sparrow"</x:v>
      </x:c>
      <x:c r="G457" s="14" t="n">
        <x:v>1</x:v>
      </x:c>
      <x:c r="H457" s="14" t="n">
        <x:v>1</x:v>
      </x:c>
      <x:c r="I457" s="53" t="b">
        <x:v>1</x:v>
      </x:c>
      <x:c r="J457" s="14" t="str"/>
      <x:c r="K457" s="14" t="str"/>
    </x:row>
    <x:row r="458">
      <x:c r="A458" t="str">
        <x:v>a2_new_minus_old_on_new_a1</x:v>
      </x:c>
      <x:c r="B458" t="str">
        <x:f>"qid:3605104154738105404"</x:f>
        <x:v>qid:3605104154738105404</x:v>
      </x:c>
      <x:c r="C458" s="14" t="str">
        <x:v>What episode does jason gideon die in criminal minds?</x:v>
      </x:c>
      <x:c r="D458" s="14" t="str">
        <x:v>self_contained</x:v>
      </x:c>
      <x:c r="E458" s="14" t="str">
        <x:v>Jason Gideon character dies in the TV episode titled "Nelson's Sparrow" which is from Season 10.</x:v>
      </x:c>
      <x:c r="F458" s="14" t="str">
        <x:v>Jason Gideon dies in the Season 10 episode "Nelson's Sparrow"</x:v>
      </x:c>
      <x:c r="G458" s="14" t="n">
        <x:v>1</x:v>
      </x:c>
      <x:c r="H458" s="14" t="n">
        <x:v>1</x:v>
      </x:c>
      <x:c r="I458" s="53" t="b">
        <x:v>1</x:v>
      </x:c>
      <x:c r="J458" s="14" t="str"/>
      <x:c r="K458" s="14" t="str"/>
    </x:row>
    <x:row r="459">
      <x:c r="A459" t="str">
        <x:v>a2_new_minus_old_on_new_a1</x:v>
      </x:c>
      <x:c r="B459" t="str">
        <x:f>"qid:3605104154738105404"</x:f>
        <x:v>qid:3605104154738105404</x:v>
      </x:c>
      <x:c r="C459" s="14" t="str">
        <x:v>What episode does jason gideon die in criminal minds?</x:v>
      </x:c>
      <x:c r="D459" s="14" t="str">
        <x:v>span_aligned</x:v>
      </x:c>
      <x:c r="E459" s="14" t="str">
        <x:v>Jason Gideon character dies in the TV episode titled "Nelson's Sparrow" which is from Season 10.</x:v>
      </x:c>
      <x:c r="F459" s="14" t="str">
        <x:v>Jason Gideon dies in the Season 10 episode "Nelson's Sparrow"</x:v>
      </x:c>
      <x:c r="G459" s="14" t="n">
        <x:v>1</x:v>
      </x:c>
      <x:c r="H459" s="14" t="n">
        <x:v>1</x:v>
      </x:c>
      <x:c r="I459" s="53" t="b">
        <x:v>1</x:v>
      </x:c>
      <x:c r="J459" s="14" t="str"/>
      <x:c r="K459" s="14" t="str"/>
    </x:row>
    <x:row r="460">
      <x:c r="A460" t="str">
        <x:v>a2_new_minus_old_on_new_a1</x:v>
      </x:c>
      <x:c r="B460" t="str">
        <x:f>"qid:3605104154738105404"</x:f>
        <x:v>qid:3605104154738105404</x:v>
      </x:c>
      <x:c r="C460" s="14" t="str">
        <x:v>What episode does jason gideon die in criminal minds?</x:v>
      </x:c>
      <x:c r="D460" s="14" t="str">
        <x:v>rewrite_faithful</x:v>
      </x:c>
      <x:c r="E460" s="14" t="str">
        <x:v>Jason Gideon character dies in the TV episode titled "Nelson's Sparrow" which is from Season 10.</x:v>
      </x:c>
      <x:c r="F460" s="14" t="str">
        <x:v>Jason Gideon dies in the Season 10 episode "Nelson's Sparrow"</x:v>
      </x:c>
      <x:c r="G460" s="14" t="n">
        <x:v>1</x:v>
      </x:c>
      <x:c r="H460" s="14" t="n">
        <x:v>1</x:v>
      </x:c>
      <x:c r="I460" s="53" t="b">
        <x:v>1</x:v>
      </x:c>
      <x:c r="J460" s="14" t="str"/>
      <x:c r="K460" s="14" t="str"/>
    </x:row>
    <x:row r="461">
      <x:c r="A461" t="str">
        <x:v>a2_new_minus_old_on_new_a1</x:v>
      </x:c>
      <x:c r="B461" t="str">
        <x:f>"qid:3643093465010420057"</x:f>
        <x:v>qid:3643093465010420057</x:v>
      </x:c>
      <x:c r="C461" s="14" t="str">
        <x:v>What city in texas has the highest elevation?</x:v>
      </x:c>
      <x:c r="D461" s="14" t="str">
        <x:v>atomic</x:v>
      </x:c>
      <x:c r="E461" s="14" t="str">
        <x:v>Del Rio has an elevation of 1425 feet above sea level.</x:v>
      </x:c>
      <x:c r="F461" s="14" t="str">
        <x:v>1425 feet above sea level [4]</x:v>
      </x:c>
      <x:c r="G461" s="14" t="n">
        <x:v>1</x:v>
      </x:c>
      <x:c r="H461" s="14" t="n">
        <x:v>1</x:v>
      </x:c>
      <x:c r="I461" s="53" t="b">
        <x:v>1</x:v>
      </x:c>
      <x:c r="J461" s="14" t="str">
        <x:v>span_misaligned;meaning_changed</x:v>
      </x:c>
      <x:c r="K461" s="14" t="str">
        <x:v>span_misaligned;meaning_changed</x:v>
      </x:c>
    </x:row>
    <x:row r="462">
      <x:c r="A462" t="str">
        <x:v>a2_new_minus_old_on_new_a1</x:v>
      </x:c>
      <x:c r="B462" t="str">
        <x:f>"qid:3643093465010420057"</x:f>
        <x:v>qid:3643093465010420057</x:v>
      </x:c>
      <x:c r="C462" s="14" t="str">
        <x:v>What city in texas has the highest elevation?</x:v>
      </x:c>
      <x:c r="D462" s="14" t="str">
        <x:v>self_contained</x:v>
      </x:c>
      <x:c r="E462" s="14" t="str">
        <x:v>Del Rio has an elevation of 1425 feet above sea level.</x:v>
      </x:c>
      <x:c r="F462" s="14" t="str">
        <x:v>1425 feet above sea level [4]</x:v>
      </x:c>
      <x:c r="G462" s="14" t="n">
        <x:v>1</x:v>
      </x:c>
      <x:c r="H462" s="14" t="n">
        <x:v>1</x:v>
      </x:c>
      <x:c r="I462" s="53" t="b">
        <x:v>1</x:v>
      </x:c>
      <x:c r="J462" s="14" t="str">
        <x:v>span_misaligned;meaning_changed</x:v>
      </x:c>
      <x:c r="K462" s="14" t="str">
        <x:v>span_misaligned;meaning_changed</x:v>
      </x:c>
    </x:row>
    <x:row r="463">
      <x:c r="A463" t="str">
        <x:v>a2_new_minus_old_on_new_a1</x:v>
      </x:c>
      <x:c r="B463" t="str">
        <x:f>"qid:3643093465010420057"</x:f>
        <x:v>qid:3643093465010420057</x:v>
      </x:c>
      <x:c r="C463" s="14" t="str">
        <x:v>What city in texas has the highest elevation?</x:v>
      </x:c>
      <x:c r="D463" s="14" t="str">
        <x:v>span_aligned</x:v>
      </x:c>
      <x:c r="E463" s="14" t="str">
        <x:v>Del Rio has an elevation of 1425 feet above sea level.</x:v>
      </x:c>
      <x:c r="F463" s="14" t="str">
        <x:v>1425 feet above sea level [4]</x:v>
      </x:c>
      <x:c r="G463" s="14" t="n">
        <x:v>0</x:v>
      </x:c>
      <x:c r="H463" s="14" t="n">
        <x:v>0</x:v>
      </x:c>
      <x:c r="I463" s="53" t="b">
        <x:v>1</x:v>
      </x:c>
      <x:c r="J463" s="14" t="str">
        <x:v>span_misaligned;meaning_changed</x:v>
      </x:c>
      <x:c r="K463" s="14" t="str">
        <x:v>span_misaligned;meaning_changed</x:v>
      </x:c>
    </x:row>
    <x:row r="464">
      <x:c r="A464" t="str">
        <x:v>a2_new_minus_old_on_new_a1</x:v>
      </x:c>
      <x:c r="B464" t="str">
        <x:f>"qid:3643093465010420057"</x:f>
        <x:v>qid:3643093465010420057</x:v>
      </x:c>
      <x:c r="C464" s="14" t="str">
        <x:v>What city in texas has the highest elevation?</x:v>
      </x:c>
      <x:c r="D464" s="14" t="str">
        <x:v>rewrite_faithful</x:v>
      </x:c>
      <x:c r="E464" s="14" t="str">
        <x:v>Del Rio has an elevation of 1425 feet above sea level.</x:v>
      </x:c>
      <x:c r="F464" s="14" t="str">
        <x:v>1425 feet above sea level [4]</x:v>
      </x:c>
      <x:c r="G464" s="14" t="n">
        <x:v>0</x:v>
      </x:c>
      <x:c r="H464" s="14" t="n">
        <x:v>0</x:v>
      </x:c>
      <x:c r="I464" s="53" t="b">
        <x:v>1</x:v>
      </x:c>
      <x:c r="J464" s="14" t="str">
        <x:v>span_misaligned;meaning_changed</x:v>
      </x:c>
      <x:c r="K464" s="14" t="str">
        <x:v>span_misaligned;meaning_changed</x:v>
      </x:c>
    </x:row>
    <x:row r="465">
      <x:c r="A465" t="str">
        <x:v>a2_new_minus_old_on_new_a1</x:v>
      </x:c>
      <x:c r="B465" t="str">
        <x:f>"qid:3643093465010420057"</x:f>
        <x:v>qid:3643093465010420057</x:v>
      </x:c>
      <x:c r="C465" s="14" t="str">
        <x:v>What city in texas has the highest elevation?</x:v>
      </x:c>
      <x:c r="D465" s="14" t="str">
        <x:v>atomic</x:v>
      </x:c>
      <x:c r="E465" s="14" t="str">
        <x:v>Del Rio is the city in Texas with the highest elevation.</x:v>
      </x:c>
      <x:c r="F465" s="14" t="str">
        <x:v>The city in Texas with the highest elevation is Del Rio [3].</x:v>
      </x:c>
      <x:c r="G465" s="14" t="n">
        <x:v>1</x:v>
      </x:c>
      <x:c r="H465" s="14" t="n">
        <x:v>1</x:v>
      </x:c>
      <x:c r="I465" s="53" t="b">
        <x:v>1</x:v>
      </x:c>
      <x:c r="J465" s="14" t="str"/>
      <x:c r="K465" s="14" t="str"/>
    </x:row>
    <x:row r="466">
      <x:c r="A466" t="str">
        <x:v>a2_new_minus_old_on_new_a1</x:v>
      </x:c>
      <x:c r="B466" t="str">
        <x:f>"qid:3643093465010420057"</x:f>
        <x:v>qid:3643093465010420057</x:v>
      </x:c>
      <x:c r="C466" s="14" t="str">
        <x:v>What city in texas has the highest elevation?</x:v>
      </x:c>
      <x:c r="D466" s="14" t="str">
        <x:v>self_contained</x:v>
      </x:c>
      <x:c r="E466" s="14" t="str">
        <x:v>Del Rio is the city in Texas with the highest elevation.</x:v>
      </x:c>
      <x:c r="F466" s="14" t="str">
        <x:v>The city in Texas with the highest elevation is Del Rio [3].</x:v>
      </x:c>
      <x:c r="G466" s="14" t="n">
        <x:v>1</x:v>
      </x:c>
      <x:c r="H466" s="14" t="n">
        <x:v>1</x:v>
      </x:c>
      <x:c r="I466" s="53" t="b">
        <x:v>1</x:v>
      </x:c>
      <x:c r="J466" s="14" t="str"/>
      <x:c r="K466" s="14" t="str"/>
    </x:row>
    <x:row r="467">
      <x:c r="A467" t="str">
        <x:v>a2_new_minus_old_on_new_a1</x:v>
      </x:c>
      <x:c r="B467" t="str">
        <x:f>"qid:3643093465010420057"</x:f>
        <x:v>qid:3643093465010420057</x:v>
      </x:c>
      <x:c r="C467" s="14" t="str">
        <x:v>What city in texas has the highest elevation?</x:v>
      </x:c>
      <x:c r="D467" s="14" t="str">
        <x:v>span_aligned</x:v>
      </x:c>
      <x:c r="E467" s="14" t="str">
        <x:v>Del Rio is the city in Texas with the highest elevation.</x:v>
      </x:c>
      <x:c r="F467" s="14" t="str">
        <x:v>The city in Texas with the highest elevation is Del Rio [3].</x:v>
      </x:c>
      <x:c r="G467" s="14" t="n">
        <x:v>1</x:v>
      </x:c>
      <x:c r="H467" s="14" t="n">
        <x:v>1</x:v>
      </x:c>
      <x:c r="I467" s="53" t="b">
        <x:v>1</x:v>
      </x:c>
      <x:c r="J467" s="14" t="str"/>
      <x:c r="K467" s="14" t="str"/>
    </x:row>
    <x:row r="468">
      <x:c r="A468" t="str">
        <x:v>a2_new_minus_old_on_new_a1</x:v>
      </x:c>
      <x:c r="B468" t="str">
        <x:f>"qid:3643093465010420057"</x:f>
        <x:v>qid:3643093465010420057</x:v>
      </x:c>
      <x:c r="C468" s="14" t="str">
        <x:v>What city in texas has the highest elevation?</x:v>
      </x:c>
      <x:c r="D468" s="14" t="str">
        <x:v>rewrite_faithful</x:v>
      </x:c>
      <x:c r="E468" s="14" t="str">
        <x:v>Del Rio is the city in Texas with the highest elevation.</x:v>
      </x:c>
      <x:c r="F468" s="14" t="str">
        <x:v>The city in Texas with the highest elevation is Del Rio [3].</x:v>
      </x:c>
      <x:c r="G468" s="14" t="n">
        <x:v>1</x:v>
      </x:c>
      <x:c r="H468" s="14" t="n">
        <x:v>1</x:v>
      </x:c>
      <x:c r="I468" s="53" t="b">
        <x:v>1</x:v>
      </x:c>
      <x:c r="J468" s="14" t="str"/>
      <x:c r="K468" s="14" t="str"/>
    </x:row>
    <x:row r="469">
      <x:c r="A469" t="str">
        <x:v>a2_new_minus_old_on_new_a1</x:v>
      </x:c>
      <x:c r="B469" t="str">
        <x:f>"qid:4150448921344430432"</x:f>
        <x:v>qid:4150448921344430432</x:v>
      </x:c>
      <x:c r="C469" s="14" t="str">
        <x:v>Who were the original twins in everybody loves raymond?</x:v>
      </x:c>
      <x:c r="D469" s="14" t="str">
        <x:v>atomic</x:v>
      </x:c>
      <x:c r="E469" s="14" t="str">
        <x:v>Matthew and Gregory were the original twin actors in the television show Everybody Loves Raymond.</x:v>
      </x:c>
      <x:c r="F469" s="14" t="str">
        <x:v>The original twins in Everybody Loves Raymond were Matthew and Gregory</x:v>
      </x:c>
      <x:c r="G469" s="14" t="n">
        <x:v>1</x:v>
      </x:c>
      <x:c r="H469" s="14" t="n">
        <x:v>1</x:v>
      </x:c>
      <x:c r="I469" s="53" t="b">
        <x:v>1</x:v>
      </x:c>
      <x:c r="J469" s="14" t="str">
        <x:v>span_misaligned;meaning_changed</x:v>
      </x:c>
      <x:c r="K469" s="14" t="str">
        <x:v>span_misaligned;meaning_changed</x:v>
      </x:c>
    </x:row>
    <x:row r="470">
      <x:c r="A470" t="str">
        <x:v>a2_new_minus_old_on_new_a1</x:v>
      </x:c>
      <x:c r="B470" t="str">
        <x:f>"qid:4150448921344430432"</x:f>
        <x:v>qid:4150448921344430432</x:v>
      </x:c>
      <x:c r="C470" s="14" t="str">
        <x:v>Who were the original twins in everybody loves raymond?</x:v>
      </x:c>
      <x:c r="D470" s="14" t="str">
        <x:v>self_contained</x:v>
      </x:c>
      <x:c r="E470" s="14" t="str">
        <x:v>Matthew and Gregory were the original twin actors in the television show Everybody Loves Raymond.</x:v>
      </x:c>
      <x:c r="F470" s="14" t="str">
        <x:v>The original twins in Everybody Loves Raymond were Matthew and Gregory</x:v>
      </x:c>
      <x:c r="G470" s="14" t="n">
        <x:v>1</x:v>
      </x:c>
      <x:c r="H470" s="14" t="n">
        <x:v>1</x:v>
      </x:c>
      <x:c r="I470" s="53" t="b">
        <x:v>1</x:v>
      </x:c>
      <x:c r="J470" s="14" t="str">
        <x:v>span_misaligned;meaning_changed</x:v>
      </x:c>
      <x:c r="K470" s="14" t="str">
        <x:v>span_misaligned;meaning_changed</x:v>
      </x:c>
    </x:row>
    <x:row r="471">
      <x:c r="A471" t="str">
        <x:v>a2_new_minus_old_on_new_a1</x:v>
      </x:c>
      <x:c r="B471" t="str">
        <x:f>"qid:4150448921344430432"</x:f>
        <x:v>qid:4150448921344430432</x:v>
      </x:c>
      <x:c r="C471" s="14" t="str">
        <x:v>Who were the original twins in everybody loves raymond?</x:v>
      </x:c>
      <x:c r="D471" s="14" t="str">
        <x:v>span_aligned</x:v>
      </x:c>
      <x:c r="E471" s="14" t="str">
        <x:v>Matthew and Gregory were the original twin actors in the television show Everybody Loves Raymond.</x:v>
      </x:c>
      <x:c r="F471" s="14" t="str">
        <x:v>The original twins in Everybody Loves Raymond were Matthew and Gregory</x:v>
      </x:c>
      <x:c r="G471" s="14" t="n">
        <x:v>0</x:v>
      </x:c>
      <x:c r="H471" s="14" t="n">
        <x:v>0</x:v>
      </x:c>
      <x:c r="I471" s="53" t="b">
        <x:v>1</x:v>
      </x:c>
      <x:c r="J471" s="14" t="str">
        <x:v>span_misaligned;meaning_changed</x:v>
      </x:c>
      <x:c r="K471" s="14" t="str">
        <x:v>span_misaligned;meaning_changed</x:v>
      </x:c>
    </x:row>
    <x:row r="472">
      <x:c r="A472" t="str">
        <x:v>a2_new_minus_old_on_new_a1</x:v>
      </x:c>
      <x:c r="B472" t="str">
        <x:f>"qid:4150448921344430432"</x:f>
        <x:v>qid:4150448921344430432</x:v>
      </x:c>
      <x:c r="C472" s="14" t="str">
        <x:v>Who were the original twins in everybody loves raymond?</x:v>
      </x:c>
      <x:c r="D472" s="14" t="str">
        <x:v>rewrite_faithful</x:v>
      </x:c>
      <x:c r="E472" s="14" t="str">
        <x:v>Matthew and Gregory were the original twin actors in the television show Everybody Loves Raymond.</x:v>
      </x:c>
      <x:c r="F472" s="14" t="str">
        <x:v>The original twins in Everybody Loves Raymond were Matthew and Gregory</x:v>
      </x:c>
      <x:c r="G472" s="14" t="n">
        <x:v>0</x:v>
      </x:c>
      <x:c r="H472" s="14" t="n">
        <x:v>0</x:v>
      </x:c>
      <x:c r="I472" s="53" t="b">
        <x:v>1</x:v>
      </x:c>
      <x:c r="J472" s="14" t="str">
        <x:v>span_misaligned;meaning_changed</x:v>
      </x:c>
      <x:c r="K472" s="14" t="str">
        <x:v>span_misaligned;meaning_changed</x:v>
      </x:c>
    </x:row>
    <x:row r="473">
      <x:c r="A473" t="str">
        <x:v>a2_new_minus_old_on_new_a1</x:v>
      </x:c>
      <x:c r="B473" t="str">
        <x:f>"qid:4183252176965080529"</x:f>
        <x:v>qid:4183252176965080529</x:v>
      </x:c>
      <x:c r="C473" s="14" t="str">
        <x:v>When does the new independence day come out?</x:v>
      </x:c>
      <x:c r="D473" s="14" t="str">
        <x:v>atomic</x:v>
      </x:c>
      <x:c r="E473" s="14" t="str">
        <x:v>Independence Day: Resurgence was released in the United States on June 24, 2016.</x:v>
      </x:c>
      <x:c r="F473" s="14" t="str">
        <x:v>was released in the United States on June 24, 2016</x:v>
      </x:c>
      <x:c r="G473" s="14" t="n">
        <x:v>1</x:v>
      </x:c>
      <x:c r="H473" s="14" t="n">
        <x:v>1</x:v>
      </x:c>
      <x:c r="I473" s="53" t="b">
        <x:v>1</x:v>
      </x:c>
      <x:c r="J473" s="14" t="str">
        <x:v>span_misaligned;meaning_changed</x:v>
      </x:c>
      <x:c r="K473" s="14" t="str">
        <x:v>span_misaligned;meaning_changed</x:v>
      </x:c>
    </x:row>
    <x:row r="474">
      <x:c r="A474" t="str">
        <x:v>a2_new_minus_old_on_new_a1</x:v>
      </x:c>
      <x:c r="B474" t="str">
        <x:f>"qid:4183252176965080529"</x:f>
        <x:v>qid:4183252176965080529</x:v>
      </x:c>
      <x:c r="C474" s="14" t="str">
        <x:v>When does the new independence day come out?</x:v>
      </x:c>
      <x:c r="D474" s="14" t="str">
        <x:v>self_contained</x:v>
      </x:c>
      <x:c r="E474" s="14" t="str">
        <x:v>Independence Day: Resurgence was released in the United States on June 24, 2016.</x:v>
      </x:c>
      <x:c r="F474" s="14" t="str">
        <x:v>was released in the United States on June 24, 2016</x:v>
      </x:c>
      <x:c r="G474" s="14" t="n">
        <x:v>1</x:v>
      </x:c>
      <x:c r="H474" s="14" t="n">
        <x:v>1</x:v>
      </x:c>
      <x:c r="I474" s="53" t="b">
        <x:v>1</x:v>
      </x:c>
      <x:c r="J474" s="14" t="str">
        <x:v>span_misaligned;meaning_changed</x:v>
      </x:c>
      <x:c r="K474" s="14" t="str">
        <x:v>span_misaligned;meaning_changed</x:v>
      </x:c>
    </x:row>
    <x:row r="475">
      <x:c r="A475" t="str">
        <x:v>a2_new_minus_old_on_new_a1</x:v>
      </x:c>
      <x:c r="B475" t="str">
        <x:f>"qid:4183252176965080529"</x:f>
        <x:v>qid:4183252176965080529</x:v>
      </x:c>
      <x:c r="C475" s="14" t="str">
        <x:v>When does the new independence day come out?</x:v>
      </x:c>
      <x:c r="D475" s="14" t="str">
        <x:v>span_aligned</x:v>
      </x:c>
      <x:c r="E475" s="14" t="str">
        <x:v>Independence Day: Resurgence was released in the United States on June 24, 2016.</x:v>
      </x:c>
      <x:c r="F475" s="14" t="str">
        <x:v>was released in the United States on June 24, 2016</x:v>
      </x:c>
      <x:c r="G475" s="14" t="n">
        <x:v>0</x:v>
      </x:c>
      <x:c r="H475" s="14" t="n">
        <x:v>0</x:v>
      </x:c>
      <x:c r="I475" s="53" t="b">
        <x:v>1</x:v>
      </x:c>
      <x:c r="J475" s="14" t="str">
        <x:v>span_misaligned;meaning_changed</x:v>
      </x:c>
      <x:c r="K475" s="14" t="str">
        <x:v>span_misaligned;meaning_changed</x:v>
      </x:c>
    </x:row>
    <x:row r="476">
      <x:c r="A476" t="str">
        <x:v>a2_new_minus_old_on_new_a1</x:v>
      </x:c>
      <x:c r="B476" t="str">
        <x:f>"qid:4183252176965080529"</x:f>
        <x:v>qid:4183252176965080529</x:v>
      </x:c>
      <x:c r="C476" s="14" t="str">
        <x:v>When does the new independence day come out?</x:v>
      </x:c>
      <x:c r="D476" s="14" t="str">
        <x:v>rewrite_faithful</x:v>
      </x:c>
      <x:c r="E476" s="14" t="str">
        <x:v>Independence Day: Resurgence was released in the United States on June 24, 2016.</x:v>
      </x:c>
      <x:c r="F476" s="14" t="str">
        <x:v>was released in the United States on June 24, 2016</x:v>
      </x:c>
      <x:c r="G476" s="14" t="n">
        <x:v>0</x:v>
      </x:c>
      <x:c r="H476" s="14" t="n">
        <x:v>0</x:v>
      </x:c>
      <x:c r="I476" s="53" t="b">
        <x:v>1</x:v>
      </x:c>
      <x:c r="J476" s="14" t="str">
        <x:v>span_misaligned;meaning_changed</x:v>
      </x:c>
      <x:c r="K476" s="14" t="str">
        <x:v>span_misaligned;meaning_changed</x:v>
      </x:c>
    </x:row>
    <x:row r="477">
      <x:c r="A477" t="str">
        <x:v>a2_new_minus_old_on_new_a1</x:v>
      </x:c>
      <x:c r="B477" t="str">
        <x:f>"qid:4474597907223412132"</x:f>
        <x:v>qid:4474597907223412132</x:v>
      </x:c>
      <x:c r="C477" s="14" t="str">
        <x:v>Who were the two astronauts who stayed a year on the iss?</x:v>
      </x:c>
      <x:c r="D477" s="14" t="str">
        <x:v>atomic</x:v>
      </x:c>
      <x:c r="E477" s="14" t="str">
        <x:v>Scott Kelly and Mikhail Korniyenko were the two astronauts who spent a year on the International Space Station.</x:v>
      </x:c>
      <x:c r="F477" s="14" t="str">
        <x:v>Scott Kelly and Mikhail Korniyenko were the two astronauts who stayed a year on the ISS</x:v>
      </x:c>
      <x:c r="G477" s="14" t="n">
        <x:v>1</x:v>
      </x:c>
      <x:c r="H477" s="14" t="n">
        <x:v>1</x:v>
      </x:c>
      <x:c r="I477" s="53" t="b">
        <x:v>1</x:v>
      </x:c>
      <x:c r="J477" s="14" t="str"/>
      <x:c r="K477" s="14" t="str"/>
    </x:row>
    <x:row r="478">
      <x:c r="A478" t="str">
        <x:v>a2_new_minus_old_on_new_a1</x:v>
      </x:c>
      <x:c r="B478" t="str">
        <x:f>"qid:4474597907223412132"</x:f>
        <x:v>qid:4474597907223412132</x:v>
      </x:c>
      <x:c r="C478" s="14" t="str">
        <x:v>Who were the two astronauts who stayed a year on the iss?</x:v>
      </x:c>
      <x:c r="D478" s="14" t="str">
        <x:v>self_contained</x:v>
      </x:c>
      <x:c r="E478" s="14" t="str">
        <x:v>Scott Kelly and Mikhail Korniyenko were the two astronauts who spent a year on the International Space Station.</x:v>
      </x:c>
      <x:c r="F478" s="14" t="str">
        <x:v>Scott Kelly and Mikhail Korniyenko were the two astronauts who stayed a year on the ISS</x:v>
      </x:c>
      <x:c r="G478" s="14" t="n">
        <x:v>1</x:v>
      </x:c>
      <x:c r="H478" s="14" t="n">
        <x:v>1</x:v>
      </x:c>
      <x:c r="I478" s="53" t="b">
        <x:v>1</x:v>
      </x:c>
      <x:c r="J478" s="14" t="str"/>
      <x:c r="K478" s="14" t="str"/>
    </x:row>
    <x:row r="479">
      <x:c r="A479" t="str">
        <x:v>a2_new_minus_old_on_new_a1</x:v>
      </x:c>
      <x:c r="B479" t="str">
        <x:f>"qid:4474597907223412132"</x:f>
        <x:v>qid:4474597907223412132</x:v>
      </x:c>
      <x:c r="C479" s="14" t="str">
        <x:v>Who were the two astronauts who stayed a year on the iss?</x:v>
      </x:c>
      <x:c r="D479" s="14" t="str">
        <x:v>span_aligned</x:v>
      </x:c>
      <x:c r="E479" s="14" t="str">
        <x:v>Scott Kelly and Mikhail Korniyenko were the two astronauts who spent a year on the International Space Station.</x:v>
      </x:c>
      <x:c r="F479" s="14" t="str">
        <x:v>Scott Kelly and Mikhail Korniyenko were the two astronauts who stayed a year on the ISS</x:v>
      </x:c>
      <x:c r="G479" s="14" t="n">
        <x:v>1</x:v>
      </x:c>
      <x:c r="H479" s="14" t="n">
        <x:v>1</x:v>
      </x:c>
      <x:c r="I479" s="53" t="b">
        <x:v>1</x:v>
      </x:c>
      <x:c r="J479" s="14" t="str"/>
      <x:c r="K479" s="14" t="str"/>
    </x:row>
    <x:row r="480">
      <x:c r="A480" t="str">
        <x:v>a2_new_minus_old_on_new_a1</x:v>
      </x:c>
      <x:c r="B480" t="str">
        <x:f>"qid:4474597907223412132"</x:f>
        <x:v>qid:4474597907223412132</x:v>
      </x:c>
      <x:c r="C480" s="14" t="str">
        <x:v>Who were the two astronauts who stayed a year on the iss?</x:v>
      </x:c>
      <x:c r="D480" s="14" t="str">
        <x:v>rewrite_faithful</x:v>
      </x:c>
      <x:c r="E480" s="14" t="str">
        <x:v>Scott Kelly and Mikhail Korniyenko were the two astronauts who spent a year on the International Space Station.</x:v>
      </x:c>
      <x:c r="F480" s="14" t="str">
        <x:v>Scott Kelly and Mikhail Korniyenko were the two astronauts who stayed a year on the ISS</x:v>
      </x:c>
      <x:c r="G480" s="14" t="n">
        <x:v>1</x:v>
      </x:c>
      <x:c r="H480" s="14" t="n">
        <x:v>1</x:v>
      </x:c>
      <x:c r="I480" s="53" t="b">
        <x:v>1</x:v>
      </x:c>
      <x:c r="J480" s="14" t="str"/>
      <x:c r="K480" s="14" t="str"/>
    </x:row>
    <x:row r="481">
      <x:c r="A481" t="str">
        <x:v>a2_new_minus_old_on_new_a1</x:v>
      </x:c>
      <x:c r="B481" t="str">
        <x:f>"qid:586233275728240023"</x:f>
        <x:v>qid:586233275728240023</x:v>
      </x:c>
      <x:c r="C481" s="14" t="str">
        <x:v>What is the os of samsung smart tv?</x:v>
      </x:c>
      <x:c r="D481" s="14" t="str">
        <x:v>atomic</x:v>
      </x:c>
      <x:c r="E481" s="14" t="str">
        <x:v>Samsung smart TVs use the Tizen operating system.</x:v>
      </x:c>
      <x:c r="F481" s="14" t="str">
        <x:v>The operating system of Samsung smart TVs is Tizen</x:v>
      </x:c>
      <x:c r="G481" s="14" t="n">
        <x:v>1</x:v>
      </x:c>
      <x:c r="H481" s="14" t="n">
        <x:v>1</x:v>
      </x:c>
      <x:c r="I481" s="53" t="b">
        <x:v>1</x:v>
      </x:c>
      <x:c r="J481" s="14" t="str"/>
      <x:c r="K481" s="14" t="str"/>
    </x:row>
    <x:row r="482">
      <x:c r="A482" t="str">
        <x:v>a2_new_minus_old_on_new_a1</x:v>
      </x:c>
      <x:c r="B482" t="str">
        <x:f>"qid:586233275728240023"</x:f>
        <x:v>qid:586233275728240023</x:v>
      </x:c>
      <x:c r="C482" s="14" t="str">
        <x:v>What is the os of samsung smart tv?</x:v>
      </x:c>
      <x:c r="D482" s="14" t="str">
        <x:v>self_contained</x:v>
      </x:c>
      <x:c r="E482" s="14" t="str">
        <x:v>Samsung smart TVs use the Tizen operating system.</x:v>
      </x:c>
      <x:c r="F482" s="14" t="str">
        <x:v>The operating system of Samsung smart TVs is Tizen</x:v>
      </x:c>
      <x:c r="G482" s="14" t="n">
        <x:v>1</x:v>
      </x:c>
      <x:c r="H482" s="14" t="n">
        <x:v>1</x:v>
      </x:c>
      <x:c r="I482" s="53" t="b">
        <x:v>1</x:v>
      </x:c>
      <x:c r="J482" s="14" t="str"/>
      <x:c r="K482" s="14" t="str"/>
    </x:row>
    <x:row r="483">
      <x:c r="A483" t="str">
        <x:v>a2_new_minus_old_on_new_a1</x:v>
      </x:c>
      <x:c r="B483" t="str">
        <x:f>"qid:586233275728240023"</x:f>
        <x:v>qid:586233275728240023</x:v>
      </x:c>
      <x:c r="C483" s="14" t="str">
        <x:v>What is the os of samsung smart tv?</x:v>
      </x:c>
      <x:c r="D483" s="14" t="str">
        <x:v>span_aligned</x:v>
      </x:c>
      <x:c r="E483" s="14" t="str">
        <x:v>Samsung smart TVs use the Tizen operating system.</x:v>
      </x:c>
      <x:c r="F483" s="14" t="str">
        <x:v>The operating system of Samsung smart TVs is Tizen</x:v>
      </x:c>
      <x:c r="G483" s="14" t="n">
        <x:v>1</x:v>
      </x:c>
      <x:c r="H483" s="14" t="n">
        <x:v>1</x:v>
      </x:c>
      <x:c r="I483" s="53" t="b">
        <x:v>1</x:v>
      </x:c>
      <x:c r="J483" s="14" t="str"/>
      <x:c r="K483" s="14" t="str"/>
    </x:row>
    <x:row r="484">
      <x:c r="A484" t="str">
        <x:v>a2_new_minus_old_on_new_a1</x:v>
      </x:c>
      <x:c r="B484" t="str">
        <x:f>"qid:586233275728240023"</x:f>
        <x:v>qid:586233275728240023</x:v>
      </x:c>
      <x:c r="C484" s="14" t="str">
        <x:v>What is the os of samsung smart tv?</x:v>
      </x:c>
      <x:c r="D484" s="14" t="str">
        <x:v>rewrite_faithful</x:v>
      </x:c>
      <x:c r="E484" s="14" t="str">
        <x:v>Samsung smart TVs use the Tizen operating system.</x:v>
      </x:c>
      <x:c r="F484" s="14" t="str">
        <x:v>The operating system of Samsung smart TVs is Tizen</x:v>
      </x:c>
      <x:c r="G484" s="14" t="n">
        <x:v>1</x:v>
      </x:c>
      <x:c r="H484" s="14" t="n">
        <x:v>1</x:v>
      </x:c>
      <x:c r="I484" s="53" t="b">
        <x:v>1</x:v>
      </x:c>
      <x:c r="J484" s="14" t="str"/>
      <x:c r="K484" s="14" t="str"/>
    </x:row>
    <x:row r="485">
      <x:c r="A485" t="str">
        <x:v>a2_new_minus_old_on_new_a1</x:v>
      </x:c>
      <x:c r="B485" t="str">
        <x:f>"qid:6257465985316109835"</x:f>
        <x:v>qid:6257465985316109835</x:v>
      </x:c>
      <x:c r="C485" s="14" t="str">
        <x:v>Who is the main character in liv and maddie?</x:v>
      </x:c>
      <x:c r="D485" s="14" t="str">
        <x:v>atomic</x:v>
      </x:c>
      <x:c r="E485" s="14" t="str">
        <x:v>Dove Cameron plays the role of Liv in the television series Liv and Maddie.</x:v>
      </x:c>
      <x:c r="F485" s="14" t="str">
        <x:v>Dove Cameron is the main character in Liv and Maddie</x:v>
      </x:c>
      <x:c r="G485" s="14" t="n">
        <x:v>1</x:v>
      </x:c>
      <x:c r="H485" s="14" t="n">
        <x:v>1</x:v>
      </x:c>
      <x:c r="I485" s="53" t="b">
        <x:v>1</x:v>
      </x:c>
      <x:c r="J485" s="14" t="str">
        <x:v>span_misaligned;meaning_changed</x:v>
      </x:c>
      <x:c r="K485" s="14" t="str">
        <x:v>span_misaligned;meaning_changed</x:v>
      </x:c>
    </x:row>
    <x:row r="486">
      <x:c r="A486" t="str">
        <x:v>a2_new_minus_old_on_new_a1</x:v>
      </x:c>
      <x:c r="B486" t="str">
        <x:f>"qid:6257465985316109835"</x:f>
        <x:v>qid:6257465985316109835</x:v>
      </x:c>
      <x:c r="C486" s="14" t="str">
        <x:v>Who is the main character in liv and maddie?</x:v>
      </x:c>
      <x:c r="D486" s="14" t="str">
        <x:v>self_contained</x:v>
      </x:c>
      <x:c r="E486" s="14" t="str">
        <x:v>Dove Cameron plays the role of Liv in the television series Liv and Maddie.</x:v>
      </x:c>
      <x:c r="F486" s="14" t="str">
        <x:v>Dove Cameron is the main character in Liv and Maddie</x:v>
      </x:c>
      <x:c r="G486" s="14" t="n">
        <x:v>1</x:v>
      </x:c>
      <x:c r="H486" s="14" t="n">
        <x:v>1</x:v>
      </x:c>
      <x:c r="I486" s="53" t="b">
        <x:v>1</x:v>
      </x:c>
      <x:c r="J486" s="14" t="str">
        <x:v>span_misaligned;meaning_changed</x:v>
      </x:c>
      <x:c r="K486" s="14" t="str">
        <x:v>span_misaligned;meaning_changed</x:v>
      </x:c>
    </x:row>
    <x:row r="487">
      <x:c r="A487" t="str">
        <x:v>a2_new_minus_old_on_new_a1</x:v>
      </x:c>
      <x:c r="B487" t="str">
        <x:f>"qid:6257465985316109835"</x:f>
        <x:v>qid:6257465985316109835</x:v>
      </x:c>
      <x:c r="C487" s="14" t="str">
        <x:v>Who is the main character in liv and maddie?</x:v>
      </x:c>
      <x:c r="D487" s="14" t="str">
        <x:v>span_aligned</x:v>
      </x:c>
      <x:c r="E487" s="14" t="str">
        <x:v>Dove Cameron plays the role of Liv in the television series Liv and Maddie.</x:v>
      </x:c>
      <x:c r="F487" s="14" t="str">
        <x:v>Dove Cameron is the main character in Liv and Maddie</x:v>
      </x:c>
      <x:c r="G487" s="14" t="n">
        <x:v>0</x:v>
      </x:c>
      <x:c r="H487" s="14" t="n">
        <x:v>0</x:v>
      </x:c>
      <x:c r="I487" s="53" t="b">
        <x:v>1</x:v>
      </x:c>
      <x:c r="J487" s="14" t="str">
        <x:v>span_misaligned;meaning_changed</x:v>
      </x:c>
      <x:c r="K487" s="14" t="str">
        <x:v>span_misaligned;meaning_changed</x:v>
      </x:c>
    </x:row>
    <x:row r="488">
      <x:c r="A488" t="str">
        <x:v>a2_new_minus_old_on_new_a1</x:v>
      </x:c>
      <x:c r="B488" t="str">
        <x:f>"qid:6257465985316109835"</x:f>
        <x:v>qid:6257465985316109835</x:v>
      </x:c>
      <x:c r="C488" s="14" t="str">
        <x:v>Who is the main character in liv and maddie?</x:v>
      </x:c>
      <x:c r="D488" s="14" t="str">
        <x:v>rewrite_faithful</x:v>
      </x:c>
      <x:c r="E488" s="14" t="str">
        <x:v>Dove Cameron plays the role of Liv in the television series Liv and Maddie.</x:v>
      </x:c>
      <x:c r="F488" s="14" t="str">
        <x:v>Dove Cameron is the main character in Liv and Maddie</x:v>
      </x:c>
      <x:c r="G488" s="14" t="n">
        <x:v>0</x:v>
      </x:c>
      <x:c r="H488" s="14" t="n">
        <x:v>0</x:v>
      </x:c>
      <x:c r="I488" s="53" t="b">
        <x:v>1</x:v>
      </x:c>
      <x:c r="J488" s="14" t="str">
        <x:v>span_misaligned;meaning_changed</x:v>
      </x:c>
      <x:c r="K488" s="14" t="str">
        <x:v>span_misaligned;meaning_changed</x:v>
      </x:c>
    </x:row>
    <x:row r="489">
      <x:c r="A489" t="str">
        <x:v>a2_new_minus_old_on_new_a1</x:v>
      </x:c>
      <x:c r="B489" t="str">
        <x:f>"qid:6514531923811923780"</x:f>
        <x:v>qid:6514531923811923780</x:v>
      </x:c>
      <x:c r="C489" s="14" t="str">
        <x:v>When does disney's food and wine festival end?</x:v>
      </x:c>
      <x:c r="D489" s="14" t="str">
        <x:v>atomic</x:v>
      </x:c>
      <x:c r="E489" s="14" t="str">
        <x:v>The festival concludes on November 13.</x:v>
      </x:c>
      <x:c r="F489" s="14" t="str">
        <x:v>The Epcot International Food &amp; Wine Festival ends on November 13</x:v>
      </x:c>
      <x:c r="G489" s="14" t="n">
        <x:v>1</x:v>
      </x:c>
      <x:c r="H489" s="14" t="n">
        <x:v>1</x:v>
      </x:c>
      <x:c r="I489" s="53" t="b">
        <x:v>1</x:v>
      </x:c>
      <x:c r="J489" s="14" t="str">
        <x:v>unresolved_reference</x:v>
      </x:c>
      <x:c r="K489" s="14" t="str">
        <x:v>unresolved_reference</x:v>
      </x:c>
    </x:row>
    <x:row r="490">
      <x:c r="A490" t="str">
        <x:v>a2_new_minus_old_on_new_a1</x:v>
      </x:c>
      <x:c r="B490" t="str">
        <x:f>"qid:6514531923811923780"</x:f>
        <x:v>qid:6514531923811923780</x:v>
      </x:c>
      <x:c r="C490" s="14" t="str">
        <x:v>When does disney's food and wine festival end?</x:v>
      </x:c>
      <x:c r="D490" s="14" t="str">
        <x:v>self_contained</x:v>
      </x:c>
      <x:c r="E490" s="14" t="str">
        <x:v>The festival concludes on November 13.</x:v>
      </x:c>
      <x:c r="F490" s="14" t="str">
        <x:v>The Epcot International Food &amp; Wine Festival ends on November 13</x:v>
      </x:c>
      <x:c r="G490" s="14" t="n">
        <x:v>0</x:v>
      </x:c>
      <x:c r="H490" s="14" t="n">
        <x:v>0</x:v>
      </x:c>
      <x:c r="I490" s="53" t="b">
        <x:v>1</x:v>
      </x:c>
      <x:c r="J490" s="14" t="str">
        <x:v>unresolved_reference</x:v>
      </x:c>
      <x:c r="K490" s="14" t="str">
        <x:v>unresolved_reference</x:v>
      </x:c>
    </x:row>
    <x:row r="491">
      <x:c r="A491" t="str">
        <x:v>a2_new_minus_old_on_new_a1</x:v>
      </x:c>
      <x:c r="B491" t="str">
        <x:f>"qid:6514531923811923780"</x:f>
        <x:v>qid:6514531923811923780</x:v>
      </x:c>
      <x:c r="C491" s="14" t="str">
        <x:v>When does disney's food and wine festival end?</x:v>
      </x:c>
      <x:c r="D491" s="14" t="str">
        <x:v>span_aligned</x:v>
      </x:c>
      <x:c r="E491" s="14" t="str">
        <x:v>The festival concludes on November 13.</x:v>
      </x:c>
      <x:c r="F491" s="14" t="str">
        <x:v>The Epcot International Food &amp; Wine Festival ends on November 13</x:v>
      </x:c>
      <x:c r="G491" s="14" t="n">
        <x:v>1</x:v>
      </x:c>
      <x:c r="H491" s="14" t="n">
        <x:v>1</x:v>
      </x:c>
      <x:c r="I491" s="53" t="b">
        <x:v>1</x:v>
      </x:c>
      <x:c r="J491" s="14" t="str">
        <x:v>unresolved_reference</x:v>
      </x:c>
      <x:c r="K491" s="14" t="str">
        <x:v>unresolved_reference</x:v>
      </x:c>
    </x:row>
    <x:row r="492">
      <x:c r="A492" t="str">
        <x:v>a2_new_minus_old_on_new_a1</x:v>
      </x:c>
      <x:c r="B492" t="str">
        <x:f>"qid:6514531923811923780"</x:f>
        <x:v>qid:6514531923811923780</x:v>
      </x:c>
      <x:c r="C492" s="14" t="str">
        <x:v>When does disney's food and wine festival end?</x:v>
      </x:c>
      <x:c r="D492" s="14" t="str">
        <x:v>rewrite_faithful</x:v>
      </x:c>
      <x:c r="E492" s="14" t="str">
        <x:v>The festival concludes on November 13.</x:v>
      </x:c>
      <x:c r="F492" s="14" t="str">
        <x:v>The Epcot International Food &amp; Wine Festival ends on November 13</x:v>
      </x:c>
      <x:c r="G492" s="14" t="n">
        <x:v>1</x:v>
      </x:c>
      <x:c r="H492" s="14" t="n">
        <x:v>1</x:v>
      </x:c>
      <x:c r="I492" s="53" t="b">
        <x:v>1</x:v>
      </x:c>
      <x:c r="J492" s="14" t="str">
        <x:v>unresolved_reference</x:v>
      </x:c>
      <x:c r="K492" s="14" t="str">
        <x:v>unresolved_reference</x:v>
      </x:c>
    </x:row>
    <x:row r="493">
      <x:c r="A493" t="str">
        <x:v>a2_new_minus_old_on_new_a1</x:v>
      </x:c>
      <x:c r="B493" t="str">
        <x:f>"qid:6776234528515962047"</x:f>
        <x:v>qid:6776234528515962047</x:v>
      </x:c>
      <x:c r="C493" s="14" t="str">
        <x:v>Who is the most run in cricket history?</x:v>
      </x:c>
      <x:c r="D493" s="14" t="str">
        <x:v>atomic</x:v>
      </x:c>
      <x:c r="E493" s="14" t="str">
        <x:v>Sachin Tendulkar is recognized as the most run scorer in cricket history.</x:v>
      </x:c>
      <x:c r="F493" s="14" t="str">
        <x:v>The evidence indicates that the most run scorer in cricket history is Sachin Tendulkar</x:v>
      </x:c>
      <x:c r="G493" s="14" t="n">
        <x:v>1</x:v>
      </x:c>
      <x:c r="H493" s="14" t="n">
        <x:v>1</x:v>
      </x:c>
      <x:c r="I493" s="53" t="b">
        <x:v>1</x:v>
      </x:c>
      <x:c r="J493" s="14" t="str"/>
      <x:c r="K493" s="14" t="str"/>
    </x:row>
    <x:row r="494">
      <x:c r="A494" t="str">
        <x:v>a2_new_minus_old_on_new_a1</x:v>
      </x:c>
      <x:c r="B494" t="str">
        <x:f>"qid:6776234528515962047"</x:f>
        <x:v>qid:6776234528515962047</x:v>
      </x:c>
      <x:c r="C494" s="14" t="str">
        <x:v>Who is the most run in cricket history?</x:v>
      </x:c>
      <x:c r="D494" s="14" t="str">
        <x:v>self_contained</x:v>
      </x:c>
      <x:c r="E494" s="14" t="str">
        <x:v>Sachin Tendulkar is recognized as the most run scorer in cricket history.</x:v>
      </x:c>
      <x:c r="F494" s="14" t="str">
        <x:v>The evidence indicates that the most run scorer in cricket history is Sachin Tendulkar</x:v>
      </x:c>
      <x:c r="G494" s="14" t="n">
        <x:v>1</x:v>
      </x:c>
      <x:c r="H494" s="14" t="n">
        <x:v>1</x:v>
      </x:c>
      <x:c r="I494" s="53" t="b">
        <x:v>1</x:v>
      </x:c>
      <x:c r="J494" s="14" t="str"/>
      <x:c r="K494" s="14" t="str"/>
    </x:row>
    <x:row r="495">
      <x:c r="A495" t="str">
        <x:v>a2_new_minus_old_on_new_a1</x:v>
      </x:c>
      <x:c r="B495" t="str">
        <x:f>"qid:6776234528515962047"</x:f>
        <x:v>qid:6776234528515962047</x:v>
      </x:c>
      <x:c r="C495" s="14" t="str">
        <x:v>Who is the most run in cricket history?</x:v>
      </x:c>
      <x:c r="D495" s="14" t="str">
        <x:v>span_aligned</x:v>
      </x:c>
      <x:c r="E495" s="14" t="str">
        <x:v>Sachin Tendulkar is recognized as the most run scorer in cricket history.</x:v>
      </x:c>
      <x:c r="F495" s="14" t="str">
        <x:v>The evidence indicates that the most run scorer in cricket history is Sachin Tendulkar</x:v>
      </x:c>
      <x:c r="G495" s="14" t="n">
        <x:v>1</x:v>
      </x:c>
      <x:c r="H495" s="14" t="n">
        <x:v>1</x:v>
      </x:c>
      <x:c r="I495" s="53" t="b">
        <x:v>1</x:v>
      </x:c>
      <x:c r="J495" s="14" t="str"/>
      <x:c r="K495" s="14" t="str"/>
    </x:row>
    <x:row r="496">
      <x:c r="A496" t="str">
        <x:v>a2_new_minus_old_on_new_a1</x:v>
      </x:c>
      <x:c r="B496" t="str">
        <x:f>"qid:6776234528515962047"</x:f>
        <x:v>qid:6776234528515962047</x:v>
      </x:c>
      <x:c r="C496" s="14" t="str">
        <x:v>Who is the most run in cricket history?</x:v>
      </x:c>
      <x:c r="D496" s="14" t="str">
        <x:v>rewrite_faithful</x:v>
      </x:c>
      <x:c r="E496" s="14" t="str">
        <x:v>Sachin Tendulkar is recognized as the most run scorer in cricket history.</x:v>
      </x:c>
      <x:c r="F496" s="14" t="str">
        <x:v>The evidence indicates that the most run scorer in cricket history is Sachin Tendulkar</x:v>
      </x:c>
      <x:c r="G496" s="14" t="n">
        <x:v>1</x:v>
      </x:c>
      <x:c r="H496" s="14" t="n">
        <x:v>1</x:v>
      </x:c>
      <x:c r="I496" s="53" t="b">
        <x:v>1</x:v>
      </x:c>
      <x:c r="J496" s="14" t="str"/>
      <x:c r="K496" s="14" t="str"/>
    </x:row>
    <x:row r="497">
      <x:c r="A497" t="str">
        <x:v>a2_new_minus_old_on_new_a1</x:v>
      </x:c>
      <x:c r="B497" t="str">
        <x:f>"qid:6962706727076805207"</x:f>
        <x:v>qid:6962706727076805207</x:v>
      </x:c>
      <x:c r="C497" s="14" t="str">
        <x:v>What kind of car in to catch a thief?</x:v>
      </x:c>
      <x:c r="D497" s="14" t="str">
        <x:v>atomic</x:v>
      </x:c>
      <x:c r="E497" s="14" t="str">
        <x:v>Bait cars often include audio/video surveillance technology, GPS tracking, and a kill switch for remote disabling.</x:v>
      </x:c>
      <x:c r="F497" s="14" t="str">
        <x:v>A bait car used to catch a thief is typically a vehicle that is modified with audio/video surveillance technology, GPS tracking, and possibly a "kill switch" for remote disabling</x:v>
      </x:c>
      <x:c r="G497" s="14" t="n">
        <x:v>1</x:v>
      </x:c>
      <x:c r="H497" s="14" t="n">
        <x:v>1</x:v>
      </x:c>
      <x:c r="I497" s="53" t="b">
        <x:v>1</x:v>
      </x:c>
      <x:c r="J497" s="14" t="str"/>
      <x:c r="K497" s="14" t="str"/>
    </x:row>
    <x:row r="498">
      <x:c r="A498" t="str">
        <x:v>a2_new_minus_old_on_new_a1</x:v>
      </x:c>
      <x:c r="B498" t="str">
        <x:f>"qid:6962706727076805207"</x:f>
        <x:v>qid:6962706727076805207</x:v>
      </x:c>
      <x:c r="C498" s="14" t="str">
        <x:v>What kind of car in to catch a thief?</x:v>
      </x:c>
      <x:c r="D498" s="14" t="str">
        <x:v>self_contained</x:v>
      </x:c>
      <x:c r="E498" s="14" t="str">
        <x:v>Bait cars often include audio/video surveillance technology, GPS tracking, and a kill switch for remote disabling.</x:v>
      </x:c>
      <x:c r="F498" s="14" t="str">
        <x:v>A bait car used to catch a thief is typically a vehicle that is modified with audio/video surveillance technology, GPS tracking, and possibly a "kill switch" for remote disabling</x:v>
      </x:c>
      <x:c r="G498" s="14" t="n">
        <x:v>1</x:v>
      </x:c>
      <x:c r="H498" s="14" t="n">
        <x:v>1</x:v>
      </x:c>
      <x:c r="I498" s="53" t="b">
        <x:v>1</x:v>
      </x:c>
      <x:c r="J498" s="14" t="str"/>
      <x:c r="K498" s="14" t="str"/>
    </x:row>
    <x:row r="499">
      <x:c r="A499" t="str">
        <x:v>a2_new_minus_old_on_new_a1</x:v>
      </x:c>
      <x:c r="B499" t="str">
        <x:f>"qid:6962706727076805207"</x:f>
        <x:v>qid:6962706727076805207</x:v>
      </x:c>
      <x:c r="C499" s="14" t="str">
        <x:v>What kind of car in to catch a thief?</x:v>
      </x:c>
      <x:c r="D499" s="14" t="str">
        <x:v>span_aligned</x:v>
      </x:c>
      <x:c r="E499" s="14" t="str">
        <x:v>Bait cars often include audio/video surveillance technology, GPS tracking, and a kill switch for remote disabling.</x:v>
      </x:c>
      <x:c r="F499" s="14" t="str">
        <x:v>A bait car used to catch a thief is typically a vehicle that is modified with audio/video surveillance technology, GPS tracking, and possibly a "kill switch" for remote disabling</x:v>
      </x:c>
      <x:c r="G499" s="14" t="n">
        <x:v>1</x:v>
      </x:c>
      <x:c r="H499" s="14" t="n">
        <x:v>1</x:v>
      </x:c>
      <x:c r="I499" s="53" t="b">
        <x:v>1</x:v>
      </x:c>
      <x:c r="J499" s="14" t="str"/>
      <x:c r="K499" s="14" t="str"/>
    </x:row>
    <x:row r="500">
      <x:c r="A500" t="str">
        <x:v>a2_new_minus_old_on_new_a1</x:v>
      </x:c>
      <x:c r="B500" t="str">
        <x:f>"qid:6962706727076805207"</x:f>
        <x:v>qid:6962706727076805207</x:v>
      </x:c>
      <x:c r="C500" s="14" t="str">
        <x:v>What kind of car in to catch a thief?</x:v>
      </x:c>
      <x:c r="D500" s="14" t="str">
        <x:v>rewrite_faithful</x:v>
      </x:c>
      <x:c r="E500" s="14" t="str">
        <x:v>Bait cars often include audio/video surveillance technology, GPS tracking, and a kill switch for remote disabling.</x:v>
      </x:c>
      <x:c r="F500" s="14" t="str">
        <x:v>A bait car used to catch a thief is typically a vehicle that is modified with audio/video surveillance technology, GPS tracking, and possibly a "kill switch" for remote disabling</x:v>
      </x:c>
      <x:c r="G500" s="14" t="n">
        <x:v>1</x:v>
      </x:c>
      <x:c r="H500" s="14" t="n">
        <x:v>1</x:v>
      </x:c>
      <x:c r="I500" s="53" t="b">
        <x:v>1</x:v>
      </x:c>
      <x:c r="J500" s="14" t="str"/>
      <x:c r="K500" s="14" t="str"/>
    </x:row>
    <x:row r="501">
      <x:c r="A501" t="str">
        <x:v>a2_new_minus_old_on_new_a1</x:v>
      </x:c>
      <x:c r="B501" t="str">
        <x:f>"qid:7150599999316106461"</x:f>
        <x:v>qid:7150599999316106461</x:v>
      </x:c>
      <x:c r="C501" s="14" t="str">
        <x:v>Who was the first singing brothers in the hall of fame?</x:v>
      </x:c>
      <x:c r="D501" s="14" t="str">
        <x:v>atomic</x:v>
      </x:c>
      <x:c r="E501" s="14" t="str">
        <x:v>The Mills Brothers were the inaugural recipients of the Vocal Group Hall of Fame induction.</x:v>
      </x:c>
      <x:c r="F501" s="14" t="str">
        <x:v>The Mills Brothers were the first singing group inducted into the Vocal Group Hall of Fame</x:v>
      </x:c>
      <x:c r="G501" s="14" t="n">
        <x:v>1</x:v>
      </x:c>
      <x:c r="H501" s="14" t="n">
        <x:v>1</x:v>
      </x:c>
      <x:c r="I501" s="53" t="b">
        <x:v>1</x:v>
      </x:c>
      <x:c r="J501" s="14" t="str"/>
      <x:c r="K501" s="14" t="str"/>
    </x:row>
    <x:row r="502">
      <x:c r="A502" t="str">
        <x:v>a2_new_minus_old_on_new_a1</x:v>
      </x:c>
      <x:c r="B502" t="str">
        <x:f>"qid:7150599999316106461"</x:f>
        <x:v>qid:7150599999316106461</x:v>
      </x:c>
      <x:c r="C502" s="14" t="str">
        <x:v>Who was the first singing brothers in the hall of fame?</x:v>
      </x:c>
      <x:c r="D502" s="14" t="str">
        <x:v>self_contained</x:v>
      </x:c>
      <x:c r="E502" s="14" t="str">
        <x:v>The Mills Brothers were the inaugural recipients of the Vocal Group Hall of Fame induction.</x:v>
      </x:c>
      <x:c r="F502" s="14" t="str">
        <x:v>The Mills Brothers were the first singing group inducted into the Vocal Group Hall of Fame</x:v>
      </x:c>
      <x:c r="G502" s="14" t="n">
        <x:v>1</x:v>
      </x:c>
      <x:c r="H502" s="14" t="n">
        <x:v>1</x:v>
      </x:c>
      <x:c r="I502" s="53" t="b">
        <x:v>1</x:v>
      </x:c>
      <x:c r="J502" s="14" t="str"/>
      <x:c r="K502" s="14" t="str"/>
    </x:row>
    <x:row r="503">
      <x:c r="A503" t="str">
        <x:v>a2_new_minus_old_on_new_a1</x:v>
      </x:c>
      <x:c r="B503" t="str">
        <x:f>"qid:7150599999316106461"</x:f>
        <x:v>qid:7150599999316106461</x:v>
      </x:c>
      <x:c r="C503" s="14" t="str">
        <x:v>Who was the first singing brothers in the hall of fame?</x:v>
      </x:c>
      <x:c r="D503" s="14" t="str">
        <x:v>span_aligned</x:v>
      </x:c>
      <x:c r="E503" s="14" t="str">
        <x:v>The Mills Brothers were the inaugural recipients of the Vocal Group Hall of Fame induction.</x:v>
      </x:c>
      <x:c r="F503" s="14" t="str">
        <x:v>The Mills Brothers were the first singing group inducted into the Vocal Group Hall of Fame</x:v>
      </x:c>
      <x:c r="G503" s="14" t="n">
        <x:v>1</x:v>
      </x:c>
      <x:c r="H503" s="14" t="n">
        <x:v>1</x:v>
      </x:c>
      <x:c r="I503" s="53" t="b">
        <x:v>1</x:v>
      </x:c>
      <x:c r="J503" s="14" t="str"/>
      <x:c r="K503" s="14" t="str"/>
    </x:row>
    <x:row r="504">
      <x:c r="A504" t="str">
        <x:v>a2_new_minus_old_on_new_a1</x:v>
      </x:c>
      <x:c r="B504" t="str">
        <x:f>"qid:7150599999316106461"</x:f>
        <x:v>qid:7150599999316106461</x:v>
      </x:c>
      <x:c r="C504" s="14" t="str">
        <x:v>Who was the first singing brothers in the hall of fame?</x:v>
      </x:c>
      <x:c r="D504" s="14" t="str">
        <x:v>rewrite_faithful</x:v>
      </x:c>
      <x:c r="E504" s="14" t="str">
        <x:v>The Mills Brothers were the inaugural recipients of the Vocal Group Hall of Fame induction.</x:v>
      </x:c>
      <x:c r="F504" s="14" t="str">
        <x:v>The Mills Brothers were the first singing group inducted into the Vocal Group Hall of Fame</x:v>
      </x:c>
      <x:c r="G504" s="14" t="n">
        <x:v>1</x:v>
      </x:c>
      <x:c r="H504" s="14" t="n">
        <x:v>1</x:v>
      </x:c>
      <x:c r="I504" s="53" t="b">
        <x:v>1</x:v>
      </x:c>
      <x:c r="J504" s="14" t="str"/>
      <x:c r="K504" s="14" t="str"/>
    </x:row>
    <x:row r="505">
      <x:c r="A505" t="str">
        <x:v>a2_new_minus_old_on_new_a1</x:v>
      </x:c>
      <x:c r="B505" t="str">
        <x:f>"qid:732619765350082410"</x:f>
        <x:v>qid:732619765350082410</x:v>
      </x:c>
      <x:c r="C505" s="14" t="str">
        <x:v>When did toronto host the mlb all-star game?</x:v>
      </x:c>
      <x:c r="D505" s="14" t="str">
        <x:v>atomic</x:v>
      </x:c>
      <x:c r="E505" s="14" t="str">
        <x:v>The Toronto Blue Jays were the host team for the Major League Baseball All-Star Game on July 9, 1991.</x:v>
      </x:c>
      <x:c r="F505" s="14" t="str">
        <x:v>The Toronto Blue Jays hosted the Major League Baseball All-Star Game on July 9, 1991</x:v>
      </x:c>
      <x:c r="G505" s="14" t="n">
        <x:v>1</x:v>
      </x:c>
      <x:c r="H505" s="14" t="n">
        <x:v>1</x:v>
      </x:c>
      <x:c r="I505" s="53" t="b">
        <x:v>1</x:v>
      </x:c>
      <x:c r="J505" s="14" t="str"/>
      <x:c r="K505" s="14" t="str"/>
    </x:row>
    <x:row r="506">
      <x:c r="A506" t="str">
        <x:v>a2_new_minus_old_on_new_a1</x:v>
      </x:c>
      <x:c r="B506" t="str">
        <x:f>"qid:732619765350082410"</x:f>
        <x:v>qid:732619765350082410</x:v>
      </x:c>
      <x:c r="C506" s="14" t="str">
        <x:v>When did toronto host the mlb all-star game?</x:v>
      </x:c>
      <x:c r="D506" s="14" t="str">
        <x:v>self_contained</x:v>
      </x:c>
      <x:c r="E506" s="14" t="str">
        <x:v>The Toronto Blue Jays were the host team for the Major League Baseball All-Star Game on July 9, 1991.</x:v>
      </x:c>
      <x:c r="F506" s="14" t="str">
        <x:v>The Toronto Blue Jays hosted the Major League Baseball All-Star Game on July 9, 1991</x:v>
      </x:c>
      <x:c r="G506" s="14" t="n">
        <x:v>1</x:v>
      </x:c>
      <x:c r="H506" s="14" t="n">
        <x:v>1</x:v>
      </x:c>
      <x:c r="I506" s="53" t="b">
        <x:v>1</x:v>
      </x:c>
      <x:c r="J506" s="14" t="str"/>
      <x:c r="K506" s="14" t="str"/>
    </x:row>
    <x:row r="507">
      <x:c r="A507" t="str">
        <x:v>a2_new_minus_old_on_new_a1</x:v>
      </x:c>
      <x:c r="B507" t="str">
        <x:f>"qid:732619765350082410"</x:f>
        <x:v>qid:732619765350082410</x:v>
      </x:c>
      <x:c r="C507" s="14" t="str">
        <x:v>When did toronto host the mlb all-star game?</x:v>
      </x:c>
      <x:c r="D507" s="14" t="str">
        <x:v>span_aligned</x:v>
      </x:c>
      <x:c r="E507" s="14" t="str">
        <x:v>The Toronto Blue Jays were the host team for the Major League Baseball All-Star Game on July 9, 1991.</x:v>
      </x:c>
      <x:c r="F507" s="14" t="str">
        <x:v>The Toronto Blue Jays hosted the Major League Baseball All-Star Game on July 9, 1991</x:v>
      </x:c>
      <x:c r="G507" s="14" t="n">
        <x:v>1</x:v>
      </x:c>
      <x:c r="H507" s="14" t="n">
        <x:v>1</x:v>
      </x:c>
      <x:c r="I507" s="53" t="b">
        <x:v>1</x:v>
      </x:c>
      <x:c r="J507" s="14" t="str"/>
      <x:c r="K507" s="14" t="str"/>
    </x:row>
    <x:row r="508">
      <x:c r="A508" t="str">
        <x:v>a2_new_minus_old_on_new_a1</x:v>
      </x:c>
      <x:c r="B508" t="str">
        <x:f>"qid:732619765350082410"</x:f>
        <x:v>qid:732619765350082410</x:v>
      </x:c>
      <x:c r="C508" s="14" t="str">
        <x:v>When did toronto host the mlb all-star game?</x:v>
      </x:c>
      <x:c r="D508" s="14" t="str">
        <x:v>rewrite_faithful</x:v>
      </x:c>
      <x:c r="E508" s="14" t="str">
        <x:v>The Toronto Blue Jays were the host team for the Major League Baseball All-Star Game on July 9, 1991.</x:v>
      </x:c>
      <x:c r="F508" s="14" t="str">
        <x:v>The Toronto Blue Jays hosted the Major League Baseball All-Star Game on July 9, 1991</x:v>
      </x:c>
      <x:c r="G508" s="14" t="n">
        <x:v>1</x:v>
      </x:c>
      <x:c r="H508" s="14" t="n">
        <x:v>1</x:v>
      </x:c>
      <x:c r="I508" s="53" t="b">
        <x:v>1</x:v>
      </x:c>
      <x:c r="J508" s="14" t="str"/>
      <x:c r="K508" s="14" t="str"/>
    </x:row>
    <x:row r="509">
      <x:c r="A509" t="str">
        <x:v>a2_new_minus_old_on_new_a1</x:v>
      </x:c>
      <x:c r="B509" t="str">
        <x:f>"qid:743600309736467122"</x:f>
        <x:v>qid:743600309736467122</x:v>
      </x:c>
      <x:c r="C509" s="14" t="str">
        <x:v>When was on the revolutions of the heavenly spheres published?</x:v>
      </x:c>
      <x:c r="D509" s="14" t="str">
        <x:v>atomic</x:v>
      </x:c>
      <x:c r="E509" s="14" t="str">
        <x:v>The title of the work is 'On the Revolutions of the Heavenly Spheres'.</x:v>
      </x:c>
      <x:c r="F509" s="14" t="str">
        <x:v>On the Revolutions of the Heavenly Spheres</x:v>
      </x:c>
      <x:c r="G509" s="14" t="n">
        <x:v>1</x:v>
      </x:c>
      <x:c r="H509" s="14" t="n">
        <x:v>1</x:v>
      </x:c>
      <x:c r="I509" s="53" t="b">
        <x:v>1</x:v>
      </x:c>
      <x:c r="J509" s="14" t="str">
        <x:v>span_misaligned;meaning_changed</x:v>
      </x:c>
      <x:c r="K509" s="14" t="str">
        <x:v>span_misaligned;meaning_changed</x:v>
      </x:c>
    </x:row>
    <x:row r="510">
      <x:c r="A510" t="str">
        <x:v>a2_new_minus_old_on_new_a1</x:v>
      </x:c>
      <x:c r="B510" t="str">
        <x:f>"qid:743600309736467122"</x:f>
        <x:v>qid:743600309736467122</x:v>
      </x:c>
      <x:c r="C510" s="14" t="str">
        <x:v>When was on the revolutions of the heavenly spheres published?</x:v>
      </x:c>
      <x:c r="D510" s="14" t="str">
        <x:v>self_contained</x:v>
      </x:c>
      <x:c r="E510" s="14" t="str">
        <x:v>The title of the work is 'On the Revolutions of the Heavenly Spheres'.</x:v>
      </x:c>
      <x:c r="F510" s="14" t="str">
        <x:v>On the Revolutions of the Heavenly Spheres</x:v>
      </x:c>
      <x:c r="G510" s="14" t="n">
        <x:v>1</x:v>
      </x:c>
      <x:c r="H510" s="14" t="n">
        <x:v>1</x:v>
      </x:c>
      <x:c r="I510" s="53" t="b">
        <x:v>1</x:v>
      </x:c>
      <x:c r="J510" s="14" t="str">
        <x:v>span_misaligned;meaning_changed</x:v>
      </x:c>
      <x:c r="K510" s="14" t="str">
        <x:v>span_misaligned;meaning_changed</x:v>
      </x:c>
    </x:row>
    <x:row r="511">
      <x:c r="A511" t="str">
        <x:v>a2_new_minus_old_on_new_a1</x:v>
      </x:c>
      <x:c r="B511" t="str">
        <x:f>"qid:743600309736467122"</x:f>
        <x:v>qid:743600309736467122</x:v>
      </x:c>
      <x:c r="C511" s="14" t="str">
        <x:v>When was on the revolutions of the heavenly spheres published?</x:v>
      </x:c>
      <x:c r="D511" s="14" t="str">
        <x:v>span_aligned</x:v>
      </x:c>
      <x:c r="E511" s="14" t="str">
        <x:v>The title of the work is 'On the Revolutions of the Heavenly Spheres'.</x:v>
      </x:c>
      <x:c r="F511" s="14" t="str">
        <x:v>On the Revolutions of the Heavenly Spheres</x:v>
      </x:c>
      <x:c r="G511" s="14" t="n">
        <x:v>0</x:v>
      </x:c>
      <x:c r="H511" s="14" t="n">
        <x:v>0</x:v>
      </x:c>
      <x:c r="I511" s="53" t="b">
        <x:v>1</x:v>
      </x:c>
      <x:c r="J511" s="14" t="str">
        <x:v>span_misaligned;meaning_changed</x:v>
      </x:c>
      <x:c r="K511" s="14" t="str">
        <x:v>span_misaligned;meaning_changed</x:v>
      </x:c>
    </x:row>
    <x:row r="512">
      <x:c r="A512" t="str">
        <x:v>a2_new_minus_old_on_new_a1</x:v>
      </x:c>
      <x:c r="B512" t="str">
        <x:f>"qid:743600309736467122"</x:f>
        <x:v>qid:743600309736467122</x:v>
      </x:c>
      <x:c r="C512" s="14" t="str">
        <x:v>When was on the revolutions of the heavenly spheres published?</x:v>
      </x:c>
      <x:c r="D512" s="14" t="str">
        <x:v>rewrite_faithful</x:v>
      </x:c>
      <x:c r="E512" s="14" t="str">
        <x:v>The title of the work is 'On the Revolutions of the Heavenly Spheres'.</x:v>
      </x:c>
      <x:c r="F512" s="14" t="str">
        <x:v>On the Revolutions of the Heavenly Spheres</x:v>
      </x:c>
      <x:c r="G512" s="14" t="n">
        <x:v>0</x:v>
      </x:c>
      <x:c r="H512" s="14" t="n">
        <x:v>0</x:v>
      </x:c>
      <x:c r="I512" s="53" t="b">
        <x:v>1</x:v>
      </x:c>
      <x:c r="J512" s="14" t="str">
        <x:v>span_misaligned;meaning_changed</x:v>
      </x:c>
      <x:c r="K512" s="14" t="str">
        <x:v>span_misaligned;meaning_changed</x:v>
      </x:c>
    </x:row>
    <x:row r="513">
      <x:c r="A513" t="str">
        <x:v>a2_new_minus_old_on_new_a1</x:v>
      </x:c>
      <x:c r="B513" t="str">
        <x:f>"qid:743600309736467122"</x:f>
        <x:v>qid:743600309736467122</x:v>
      </x:c>
      <x:c r="C513" s="14" t="str">
        <x:v>When was on the revolutions of the heavenly spheres published?</x:v>
      </x:c>
      <x:c r="D513" s="14" t="str">
        <x:v>atomic</x:v>
      </x:c>
      <x:c r="E513" s="14" t="str">
        <x:v>The work was published in the year 1543.</x:v>
      </x:c>
      <x:c r="F513" s="14" t="str">
        <x:v>published in 1543</x:v>
      </x:c>
      <x:c r="G513" s="14" t="n">
        <x:v>1</x:v>
      </x:c>
      <x:c r="H513" s="14" t="n">
        <x:v>1</x:v>
      </x:c>
      <x:c r="I513" s="53" t="b">
        <x:v>1</x:v>
      </x:c>
      <x:c r="J513" s="14" t="str">
        <x:v>unresolved_reference;span_misaligned;meaning_changed</x:v>
      </x:c>
      <x:c r="K513" s="14" t="str">
        <x:v>unresolved_reference;span_misaligned;meaning_changed</x:v>
      </x:c>
    </x:row>
    <x:row r="514">
      <x:c r="A514" t="str">
        <x:v>a2_new_minus_old_on_new_a1</x:v>
      </x:c>
      <x:c r="B514" t="str">
        <x:f>"qid:743600309736467122"</x:f>
        <x:v>qid:743600309736467122</x:v>
      </x:c>
      <x:c r="C514" s="14" t="str">
        <x:v>When was on the revolutions of the heavenly spheres published?</x:v>
      </x:c>
      <x:c r="D514" s="14" t="str">
        <x:v>self_contained</x:v>
      </x:c>
      <x:c r="E514" s="14" t="str">
        <x:v>The work was published in the year 1543.</x:v>
      </x:c>
      <x:c r="F514" s="14" t="str">
        <x:v>published in 1543</x:v>
      </x:c>
      <x:c r="G514" s="14" t="n">
        <x:v>0</x:v>
      </x:c>
      <x:c r="H514" s="14" t="n">
        <x:v>0</x:v>
      </x:c>
      <x:c r="I514" s="53" t="b">
        <x:v>1</x:v>
      </x:c>
      <x:c r="J514" s="14" t="str">
        <x:v>unresolved_reference;span_misaligned;meaning_changed</x:v>
      </x:c>
      <x:c r="K514" s="14" t="str">
        <x:v>unresolved_reference;span_misaligned;meaning_changed</x:v>
      </x:c>
    </x:row>
    <x:row r="515">
      <x:c r="A515" t="str">
        <x:v>a2_new_minus_old_on_new_a1</x:v>
      </x:c>
      <x:c r="B515" t="str">
        <x:f>"qid:743600309736467122"</x:f>
        <x:v>qid:743600309736467122</x:v>
      </x:c>
      <x:c r="C515" s="14" t="str">
        <x:v>When was on the revolutions of the heavenly spheres published?</x:v>
      </x:c>
      <x:c r="D515" s="14" t="str">
        <x:v>span_aligned</x:v>
      </x:c>
      <x:c r="E515" s="14" t="str">
        <x:v>The work was published in the year 1543.</x:v>
      </x:c>
      <x:c r="F515" s="14" t="str">
        <x:v>published in 1543</x:v>
      </x:c>
      <x:c r="G515" s="14" t="n">
        <x:v>0</x:v>
      </x:c>
      <x:c r="H515" s="14" t="n">
        <x:v>0</x:v>
      </x:c>
      <x:c r="I515" s="53" t="b">
        <x:v>1</x:v>
      </x:c>
      <x:c r="J515" s="14" t="str">
        <x:v>unresolved_reference;span_misaligned;meaning_changed</x:v>
      </x:c>
      <x:c r="K515" s="14" t="str">
        <x:v>unresolved_reference;span_misaligned;meaning_changed</x:v>
      </x:c>
    </x:row>
    <x:row r="516">
      <x:c r="A516" t="str">
        <x:v>a2_new_minus_old_on_new_a1</x:v>
      </x:c>
      <x:c r="B516" t="str">
        <x:f>"qid:743600309736467122"</x:f>
        <x:v>qid:743600309736467122</x:v>
      </x:c>
      <x:c r="C516" s="14" t="str">
        <x:v>When was on the revolutions of the heavenly spheres published?</x:v>
      </x:c>
      <x:c r="D516" s="14" t="str">
        <x:v>rewrite_faithful</x:v>
      </x:c>
      <x:c r="E516" s="14" t="str">
        <x:v>The work was published in the year 1543.</x:v>
      </x:c>
      <x:c r="F516" s="14" t="str">
        <x:v>published in 1543</x:v>
      </x:c>
      <x:c r="G516" s="14" t="n">
        <x:v>0</x:v>
      </x:c>
      <x:c r="H516" s="14" t="n">
        <x:v>0</x:v>
      </x:c>
      <x:c r="I516" s="53" t="b">
        <x:v>1</x:v>
      </x:c>
      <x:c r="J516" s="14" t="str">
        <x:v>unresolved_reference;span_misaligned;meaning_changed</x:v>
      </x:c>
      <x:c r="K516" s="14" t="str">
        <x:v>unresolved_reference;span_misaligned;meaning_changed</x:v>
      </x:c>
    </x:row>
    <x:row r="517">
      <x:c r="A517" t="str">
        <x:v>a2_new_minus_old_on_new_a1</x:v>
      </x:c>
      <x:c r="B517" t="str">
        <x:f>"qid:7494804303418493420"</x:f>
        <x:v>qid:7494804303418493420</x:v>
      </x:c>
      <x:c r="C517" s="14" t="str">
        <x:v>Movie with the song sunshine on my shoulders?</x:v>
      </x:c>
      <x:c r="D517" s="14" t="str">
        <x:v>atomic</x:v>
      </x:c>
      <x:c r="E517" s="14" t="str">
        <x:v>The movie "Sunshine" was broadcast on NBC television in the year 1973.</x:v>
      </x:c>
      <x:c r="F517" s="14" t="str">
        <x:v>The movie "Sunshine" aired on NBC in 1973</x:v>
      </x:c>
      <x:c r="G517" s="14" t="n">
        <x:v>1</x:v>
      </x:c>
      <x:c r="H517" s="14" t="n">
        <x:v>1</x:v>
      </x:c>
      <x:c r="I517" s="53" t="b">
        <x:v>1</x:v>
      </x:c>
      <x:c r="J517" s="14" t="str"/>
      <x:c r="K517" s="14" t="str"/>
    </x:row>
    <x:row r="518">
      <x:c r="A518" t="str">
        <x:v>a2_new_minus_old_on_new_a1</x:v>
      </x:c>
      <x:c r="B518" t="str">
        <x:f>"qid:7494804303418493420"</x:f>
        <x:v>qid:7494804303418493420</x:v>
      </x:c>
      <x:c r="C518" s="14" t="str">
        <x:v>Movie with the song sunshine on my shoulders?</x:v>
      </x:c>
      <x:c r="D518" s="14" t="str">
        <x:v>self_contained</x:v>
      </x:c>
      <x:c r="E518" s="14" t="str">
        <x:v>The movie "Sunshine" was broadcast on NBC television in the year 1973.</x:v>
      </x:c>
      <x:c r="F518" s="14" t="str">
        <x:v>The movie "Sunshine" aired on NBC in 1973</x:v>
      </x:c>
      <x:c r="G518" s="14" t="n">
        <x:v>1</x:v>
      </x:c>
      <x:c r="H518" s="14" t="n">
        <x:v>1</x:v>
      </x:c>
      <x:c r="I518" s="53" t="b">
        <x:v>1</x:v>
      </x:c>
      <x:c r="J518" s="14" t="str"/>
      <x:c r="K518" s="14" t="str"/>
    </x:row>
    <x:row r="519">
      <x:c r="A519" t="str">
        <x:v>a2_new_minus_old_on_new_a1</x:v>
      </x:c>
      <x:c r="B519" t="str">
        <x:f>"qid:7494804303418493420"</x:f>
        <x:v>qid:7494804303418493420</x:v>
      </x:c>
      <x:c r="C519" s="14" t="str">
        <x:v>Movie with the song sunshine on my shoulders?</x:v>
      </x:c>
      <x:c r="D519" s="14" t="str">
        <x:v>span_aligned</x:v>
      </x:c>
      <x:c r="E519" s="14" t="str">
        <x:v>The movie "Sunshine" was broadcast on NBC television in the year 1973.</x:v>
      </x:c>
      <x:c r="F519" s="14" t="str">
        <x:v>The movie "Sunshine" aired on NBC in 1973</x:v>
      </x:c>
      <x:c r="G519" s="14" t="n">
        <x:v>1</x:v>
      </x:c>
      <x:c r="H519" s="14" t="n">
        <x:v>1</x:v>
      </x:c>
      <x:c r="I519" s="53" t="b">
        <x:v>1</x:v>
      </x:c>
      <x:c r="J519" s="14" t="str"/>
      <x:c r="K519" s="14" t="str"/>
    </x:row>
    <x:row r="520">
      <x:c r="A520" t="str">
        <x:v>a2_new_minus_old_on_new_a1</x:v>
      </x:c>
      <x:c r="B520" t="str">
        <x:f>"qid:7494804303418493420"</x:f>
        <x:v>qid:7494804303418493420</x:v>
      </x:c>
      <x:c r="C520" s="14" t="str">
        <x:v>Movie with the song sunshine on my shoulders?</x:v>
      </x:c>
      <x:c r="D520" s="14" t="str">
        <x:v>rewrite_faithful</x:v>
      </x:c>
      <x:c r="E520" s="14" t="str">
        <x:v>The movie "Sunshine" was broadcast on NBC television in the year 1973.</x:v>
      </x:c>
      <x:c r="F520" s="14" t="str">
        <x:v>The movie "Sunshine" aired on NBC in 1973</x:v>
      </x:c>
      <x:c r="G520" s="14" t="n">
        <x:v>1</x:v>
      </x:c>
      <x:c r="H520" s="14" t="n">
        <x:v>1</x:v>
      </x:c>
      <x:c r="I520" s="53" t="b">
        <x:v>1</x:v>
      </x:c>
      <x:c r="J520" s="14" t="str"/>
      <x:c r="K520" s="14" t="str"/>
    </x:row>
    <x:row r="521">
      <x:c r="A521" t="str">
        <x:v>a2_new_minus_old_on_new_a1</x:v>
      </x:c>
      <x:c r="B521" t="str">
        <x:f>"qid:7494804303418493420"</x:f>
        <x:v>qid:7494804303418493420</x:v>
      </x:c>
      <x:c r="C521" s="14" t="str">
        <x:v>Movie with the song sunshine on my shoulders?</x:v>
      </x:c>
      <x:c r="D521" s="14" t="str">
        <x:v>atomic</x:v>
      </x:c>
      <x:c r="E521" s="14" t="str">
        <x:v>The theme song for the movie "Sunshine" was "Sunshine on My Shoulders".</x:v>
      </x:c>
      <x:c r="F521" s="14" t="str">
        <x:v>The movie "Sunshine" aired on NBC in 1973 and used the song "Sunshine on My Shoulders" as its theme [1].</x:v>
      </x:c>
      <x:c r="G521" s="14" t="n">
        <x:v>1</x:v>
      </x:c>
      <x:c r="H521" s="14" t="n">
        <x:v>1</x:v>
      </x:c>
      <x:c r="I521" s="53" t="b">
        <x:v>1</x:v>
      </x:c>
      <x:c r="J521" s="14" t="str"/>
      <x:c r="K521" s="14" t="str"/>
    </x:row>
    <x:row r="522">
      <x:c r="A522" t="str">
        <x:v>a2_new_minus_old_on_new_a1</x:v>
      </x:c>
      <x:c r="B522" t="str">
        <x:f>"qid:7494804303418493420"</x:f>
        <x:v>qid:7494804303418493420</x:v>
      </x:c>
      <x:c r="C522" s="14" t="str">
        <x:v>Movie with the song sunshine on my shoulders?</x:v>
      </x:c>
      <x:c r="D522" s="14" t="str">
        <x:v>self_contained</x:v>
      </x:c>
      <x:c r="E522" s="14" t="str">
        <x:v>The theme song for the movie "Sunshine" was "Sunshine on My Shoulders".</x:v>
      </x:c>
      <x:c r="F522" s="14" t="str">
        <x:v>The movie "Sunshine" aired on NBC in 1973 and used the song "Sunshine on My Shoulders" as its theme [1].</x:v>
      </x:c>
      <x:c r="G522" s="14" t="n">
        <x:v>1</x:v>
      </x:c>
      <x:c r="H522" s="14" t="n">
        <x:v>1</x:v>
      </x:c>
      <x:c r="I522" s="53" t="b">
        <x:v>1</x:v>
      </x:c>
      <x:c r="J522" s="14" t="str"/>
      <x:c r="K522" s="14" t="str"/>
    </x:row>
    <x:row r="523">
      <x:c r="A523" t="str">
        <x:v>a2_new_minus_old_on_new_a1</x:v>
      </x:c>
      <x:c r="B523" t="str">
        <x:f>"qid:7494804303418493420"</x:f>
        <x:v>qid:7494804303418493420</x:v>
      </x:c>
      <x:c r="C523" s="14" t="str">
        <x:v>Movie with the song sunshine on my shoulders?</x:v>
      </x:c>
      <x:c r="D523" s="14" t="str">
        <x:v>span_aligned</x:v>
      </x:c>
      <x:c r="E523" s="14" t="str">
        <x:v>The theme song for the movie "Sunshine" was "Sunshine on My Shoulders".</x:v>
      </x:c>
      <x:c r="F523" s="14" t="str">
        <x:v>The movie "Sunshine" aired on NBC in 1973 and used the song "Sunshine on My Shoulders" as its theme [1].</x:v>
      </x:c>
      <x:c r="G523" s="14" t="n">
        <x:v>1</x:v>
      </x:c>
      <x:c r="H523" s="14" t="n">
        <x:v>1</x:v>
      </x:c>
      <x:c r="I523" s="53" t="b">
        <x:v>1</x:v>
      </x:c>
      <x:c r="J523" s="14" t="str"/>
      <x:c r="K523" s="14" t="str"/>
    </x:row>
    <x:row r="524">
      <x:c r="A524" t="str">
        <x:v>a2_new_minus_old_on_new_a1</x:v>
      </x:c>
      <x:c r="B524" t="str">
        <x:f>"qid:7494804303418493420"</x:f>
        <x:v>qid:7494804303418493420</x:v>
      </x:c>
      <x:c r="C524" s="14" t="str">
        <x:v>Movie with the song sunshine on my shoulders?</x:v>
      </x:c>
      <x:c r="D524" s="14" t="str">
        <x:v>rewrite_faithful</x:v>
      </x:c>
      <x:c r="E524" s="14" t="str">
        <x:v>The theme song for the movie "Sunshine" was "Sunshine on My Shoulders".</x:v>
      </x:c>
      <x:c r="F524" s="14" t="str">
        <x:v>The movie "Sunshine" aired on NBC in 1973 and used the song "Sunshine on My Shoulders" as its theme [1].</x:v>
      </x:c>
      <x:c r="G524" s="14" t="n">
        <x:v>1</x:v>
      </x:c>
      <x:c r="H524" s="14" t="n">
        <x:v>1</x:v>
      </x:c>
      <x:c r="I524" s="53" t="b">
        <x:v>1</x:v>
      </x:c>
      <x:c r="J524" s="14" t="str"/>
      <x:c r="K524" s="14" t="str"/>
    </x:row>
    <x:row r="525">
      <x:c r="A525" t="str">
        <x:v>a2_new_minus_old_on_new_a1</x:v>
      </x:c>
      <x:c r="B525" t="str">
        <x:f>"qid:7797208395147217894"</x:f>
        <x:v>qid:7797208395147217894</x:v>
      </x:c>
      <x:c r="C525" s="14" t="str">
        <x:v>When did west germany win the world cup?</x:v>
      </x:c>
      <x:c r="D525" s="14" t="str">
        <x:v>atomic</x:v>
      </x:c>
      <x:c r="E525" s="14" t="str">
        <x:v>West Germany achieved victory in the 1954 World Cup.</x:v>
      </x:c>
      <x:c r="F525" s="14" t="str">
        <x:v>West Germany won the World Cup in 1954 [2]</x:v>
      </x:c>
      <x:c r="G525" s="14" t="n">
        <x:v>1</x:v>
      </x:c>
      <x:c r="H525" s="14" t="n">
        <x:v>1</x:v>
      </x:c>
      <x:c r="I525" s="53" t="b">
        <x:v>1</x:v>
      </x:c>
      <x:c r="J525" s="14" t="str"/>
      <x:c r="K525" s="14" t="str"/>
    </x:row>
    <x:row r="526">
      <x:c r="A526" t="str">
        <x:v>a2_new_minus_old_on_new_a1</x:v>
      </x:c>
      <x:c r="B526" t="str">
        <x:f>"qid:7797208395147217894"</x:f>
        <x:v>qid:7797208395147217894</x:v>
      </x:c>
      <x:c r="C526" s="14" t="str">
        <x:v>When did west germany win the world cup?</x:v>
      </x:c>
      <x:c r="D526" s="14" t="str">
        <x:v>self_contained</x:v>
      </x:c>
      <x:c r="E526" s="14" t="str">
        <x:v>West Germany achieved victory in the 1954 World Cup.</x:v>
      </x:c>
      <x:c r="F526" s="14" t="str">
        <x:v>West Germany won the World Cup in 1954 [2]</x:v>
      </x:c>
      <x:c r="G526" s="14" t="n">
        <x:v>1</x:v>
      </x:c>
      <x:c r="H526" s="14" t="n">
        <x:v>1</x:v>
      </x:c>
      <x:c r="I526" s="53" t="b">
        <x:v>1</x:v>
      </x:c>
      <x:c r="J526" s="14" t="str"/>
      <x:c r="K526" s="14" t="str"/>
    </x:row>
    <x:row r="527">
      <x:c r="A527" t="str">
        <x:v>a2_new_minus_old_on_new_a1</x:v>
      </x:c>
      <x:c r="B527" t="str">
        <x:f>"qid:7797208395147217894"</x:f>
        <x:v>qid:7797208395147217894</x:v>
      </x:c>
      <x:c r="C527" s="14" t="str">
        <x:v>When did west germany win the world cup?</x:v>
      </x:c>
      <x:c r="D527" s="14" t="str">
        <x:v>span_aligned</x:v>
      </x:c>
      <x:c r="E527" s="14" t="str">
        <x:v>West Germany achieved victory in the 1954 World Cup.</x:v>
      </x:c>
      <x:c r="F527" s="14" t="str">
        <x:v>West Germany won the World Cup in 1954 [2]</x:v>
      </x:c>
      <x:c r="G527" s="14" t="n">
        <x:v>1</x:v>
      </x:c>
      <x:c r="H527" s="14" t="n">
        <x:v>1</x:v>
      </x:c>
      <x:c r="I527" s="53" t="b">
        <x:v>1</x:v>
      </x:c>
      <x:c r="J527" s="14" t="str"/>
      <x:c r="K527" s="14" t="str"/>
    </x:row>
    <x:row r="528">
      <x:c r="A528" t="str">
        <x:v>a2_new_minus_old_on_new_a1</x:v>
      </x:c>
      <x:c r="B528" t="str">
        <x:f>"qid:7797208395147217894"</x:f>
        <x:v>qid:7797208395147217894</x:v>
      </x:c>
      <x:c r="C528" s="14" t="str">
        <x:v>When did west germany win the world cup?</x:v>
      </x:c>
      <x:c r="D528" s="14" t="str">
        <x:v>rewrite_faithful</x:v>
      </x:c>
      <x:c r="E528" s="14" t="str">
        <x:v>West Germany achieved victory in the 1954 World Cup.</x:v>
      </x:c>
      <x:c r="F528" s="14" t="str">
        <x:v>West Germany won the World Cup in 1954 [2]</x:v>
      </x:c>
      <x:c r="G528" s="14" t="n">
        <x:v>1</x:v>
      </x:c>
      <x:c r="H528" s="14" t="n">
        <x:v>1</x:v>
      </x:c>
      <x:c r="I528" s="53" t="b">
        <x:v>1</x:v>
      </x:c>
      <x:c r="J528" s="14" t="str"/>
      <x:c r="K528" s="14" t="str"/>
    </x:row>
    <x:row r="529">
      <x:c r="A529" t="str">
        <x:v>a2_new_minus_old_on_new_a1</x:v>
      </x:c>
      <x:c r="B529" t="str">
        <x:f>"qid:7797208395147217894"</x:f>
        <x:v>qid:7797208395147217894</x:v>
      </x:c>
      <x:c r="C529" s="14" t="str">
        <x:v>When did west germany win the world cup?</x:v>
      </x:c>
      <x:c r="D529" s="14" t="str">
        <x:v>atomic</x:v>
      </x:c>
      <x:c r="E529" s="14" t="str">
        <x:v>West Germany achieved victory in the 1974 World Cup.</x:v>
      </x:c>
      <x:c r="F529" s="14" t="str">
        <x:v>West Germany won the World Cup in 1954 [2] and again in 1974 [2].</x:v>
      </x:c>
      <x:c r="G529" s="14" t="n">
        <x:v>1</x:v>
      </x:c>
      <x:c r="H529" s="14" t="n">
        <x:v>1</x:v>
      </x:c>
      <x:c r="I529" s="53" t="b">
        <x:v>1</x:v>
      </x:c>
      <x:c r="J529" s="14" t="str"/>
      <x:c r="K529" s="14" t="str"/>
    </x:row>
    <x:row r="530">
      <x:c r="A530" t="str">
        <x:v>a2_new_minus_old_on_new_a1</x:v>
      </x:c>
      <x:c r="B530" t="str">
        <x:f>"qid:7797208395147217894"</x:f>
        <x:v>qid:7797208395147217894</x:v>
      </x:c>
      <x:c r="C530" s="14" t="str">
        <x:v>When did west germany win the world cup?</x:v>
      </x:c>
      <x:c r="D530" s="14" t="str">
        <x:v>self_contained</x:v>
      </x:c>
      <x:c r="E530" s="14" t="str">
        <x:v>West Germany achieved victory in the 1974 World Cup.</x:v>
      </x:c>
      <x:c r="F530" s="14" t="str">
        <x:v>West Germany won the World Cup in 1954 [2] and again in 1974 [2].</x:v>
      </x:c>
      <x:c r="G530" s="14" t="n">
        <x:v>1</x:v>
      </x:c>
      <x:c r="H530" s="14" t="n">
        <x:v>1</x:v>
      </x:c>
      <x:c r="I530" s="53" t="b">
        <x:v>1</x:v>
      </x:c>
      <x:c r="J530" s="14" t="str"/>
      <x:c r="K530" s="14" t="str"/>
    </x:row>
    <x:row r="531">
      <x:c r="A531" t="str">
        <x:v>a2_new_minus_old_on_new_a1</x:v>
      </x:c>
      <x:c r="B531" t="str">
        <x:f>"qid:7797208395147217894"</x:f>
        <x:v>qid:7797208395147217894</x:v>
      </x:c>
      <x:c r="C531" s="14" t="str">
        <x:v>When did west germany win the world cup?</x:v>
      </x:c>
      <x:c r="D531" s="14" t="str">
        <x:v>span_aligned</x:v>
      </x:c>
      <x:c r="E531" s="14" t="str">
        <x:v>West Germany achieved victory in the 1974 World Cup.</x:v>
      </x:c>
      <x:c r="F531" s="14" t="str">
        <x:v>West Germany won the World Cup in 1954 [2] and again in 1974 [2].</x:v>
      </x:c>
      <x:c r="G531" s="14" t="n">
        <x:v>1</x:v>
      </x:c>
      <x:c r="H531" s="14" t="n">
        <x:v>1</x:v>
      </x:c>
      <x:c r="I531" s="53" t="b">
        <x:v>1</x:v>
      </x:c>
      <x:c r="J531" s="14" t="str"/>
      <x:c r="K531" s="14" t="str"/>
    </x:row>
    <x:row r="532">
      <x:c r="A532" t="str">
        <x:v>a2_new_minus_old_on_new_a1</x:v>
      </x:c>
      <x:c r="B532" t="str">
        <x:f>"qid:7797208395147217894"</x:f>
        <x:v>qid:7797208395147217894</x:v>
      </x:c>
      <x:c r="C532" s="14" t="str">
        <x:v>When did west germany win the world cup?</x:v>
      </x:c>
      <x:c r="D532" s="14" t="str">
        <x:v>rewrite_faithful</x:v>
      </x:c>
      <x:c r="E532" s="14" t="str">
        <x:v>West Germany achieved victory in the 1974 World Cup.</x:v>
      </x:c>
      <x:c r="F532" s="14" t="str">
        <x:v>West Germany won the World Cup in 1954 [2] and again in 1974 [2].</x:v>
      </x:c>
      <x:c r="G532" s="14" t="n">
        <x:v>1</x:v>
      </x:c>
      <x:c r="H532" s="14" t="n">
        <x:v>1</x:v>
      </x:c>
      <x:c r="I532" s="53" t="b">
        <x:v>1</x:v>
      </x:c>
      <x:c r="J532" s="14" t="str"/>
      <x:c r="K532" s="14" t="str"/>
    </x:row>
    <x:row r="533">
      <x:c r="A533" t="str">
        <x:v>a2_new_minus_old_on_new_a1</x:v>
      </x:c>
      <x:c r="B533" t="str">
        <x:f>"qid:8433533625736230886"</x:f>
        <x:v>qid:8433533625736230886</x:v>
      </x:c>
      <x:c r="C533" s="14" t="str">
        <x:v>Who has won the most trophies man utd or liverpool?</x:v>
      </x:c>
      <x:c r="D533" s="14" t="str">
        <x:v>atomic</x:v>
      </x:c>
      <x:c r="E533" s="14" t="str">
        <x:v>Manchester United has a higher total number of trophies than Liverpool.</x:v>
      </x:c>
      <x:c r="F533" s="14" t="str">
        <x:v>Manchester United has won more trophies than Liverpool</x:v>
      </x:c>
      <x:c r="G533" s="14" t="n">
        <x:v>1</x:v>
      </x:c>
      <x:c r="H533" s="14" t="n">
        <x:v>1</x:v>
      </x:c>
      <x:c r="I533" s="53" t="b">
        <x:v>1</x:v>
      </x:c>
      <x:c r="J533" s="14" t="str"/>
      <x:c r="K533" s="14" t="str"/>
    </x:row>
    <x:row r="534">
      <x:c r="A534" t="str">
        <x:v>a2_new_minus_old_on_new_a1</x:v>
      </x:c>
      <x:c r="B534" t="str">
        <x:f>"qid:8433533625736230886"</x:f>
        <x:v>qid:8433533625736230886</x:v>
      </x:c>
      <x:c r="C534" s="14" t="str">
        <x:v>Who has won the most trophies man utd or liverpool?</x:v>
      </x:c>
      <x:c r="D534" s="14" t="str">
        <x:v>self_contained</x:v>
      </x:c>
      <x:c r="E534" s="14" t="str">
        <x:v>Manchester United has a higher total number of trophies than Liverpool.</x:v>
      </x:c>
      <x:c r="F534" s="14" t="str">
        <x:v>Manchester United has won more trophies than Liverpool</x:v>
      </x:c>
      <x:c r="G534" s="14" t="n">
        <x:v>1</x:v>
      </x:c>
      <x:c r="H534" s="14" t="n">
        <x:v>1</x:v>
      </x:c>
      <x:c r="I534" s="53" t="b">
        <x:v>1</x:v>
      </x:c>
      <x:c r="J534" s="14" t="str"/>
      <x:c r="K534" s="14" t="str"/>
    </x:row>
    <x:row r="535">
      <x:c r="A535" t="str">
        <x:v>a2_new_minus_old_on_new_a1</x:v>
      </x:c>
      <x:c r="B535" t="str">
        <x:f>"qid:8433533625736230886"</x:f>
        <x:v>qid:8433533625736230886</x:v>
      </x:c>
      <x:c r="C535" s="14" t="str">
        <x:v>Who has won the most trophies man utd or liverpool?</x:v>
      </x:c>
      <x:c r="D535" s="14" t="str">
        <x:v>span_aligned</x:v>
      </x:c>
      <x:c r="E535" s="14" t="str">
        <x:v>Manchester United has a higher total number of trophies than Liverpool.</x:v>
      </x:c>
      <x:c r="F535" s="14" t="str">
        <x:v>Manchester United has won more trophies than Liverpool</x:v>
      </x:c>
      <x:c r="G535" s="14" t="n">
        <x:v>1</x:v>
      </x:c>
      <x:c r="H535" s="14" t="n">
        <x:v>1</x:v>
      </x:c>
      <x:c r="I535" s="53" t="b">
        <x:v>1</x:v>
      </x:c>
      <x:c r="J535" s="14" t="str"/>
      <x:c r="K535" s="14" t="str"/>
    </x:row>
    <x:row r="536">
      <x:c r="A536" t="str">
        <x:v>a2_new_minus_old_on_new_a1</x:v>
      </x:c>
      <x:c r="B536" t="str">
        <x:f>"qid:8433533625736230886"</x:f>
        <x:v>qid:8433533625736230886</x:v>
      </x:c>
      <x:c r="C536" s="14" t="str">
        <x:v>Who has won the most trophies man utd or liverpool?</x:v>
      </x:c>
      <x:c r="D536" s="14" t="str">
        <x:v>rewrite_faithful</x:v>
      </x:c>
      <x:c r="E536" s="14" t="str">
        <x:v>Manchester United has a higher total number of trophies than Liverpool.</x:v>
      </x:c>
      <x:c r="F536" s="14" t="str">
        <x:v>Manchester United has won more trophies than Liverpool</x:v>
      </x:c>
      <x:c r="G536" s="14" t="n">
        <x:v>1</x:v>
      </x:c>
      <x:c r="H536" s="14" t="n">
        <x:v>1</x:v>
      </x:c>
      <x:c r="I536" s="53" t="b">
        <x:v>1</x:v>
      </x:c>
      <x:c r="J536" s="14" t="str"/>
      <x:c r="K536" s="14" t="str"/>
    </x:row>
    <x:row r="537">
      <x:c r="A537" t="str">
        <x:v>a2_new_minus_old_on_new_a1</x:v>
      </x:c>
      <x:c r="B537" t="str">
        <x:f>"qid:8686216144939155905"</x:f>
        <x:v>qid:8686216144939155905</x:v>
      </x:c>
      <x:c r="C537" s="14" t="str">
        <x:v>What is the name of the time zone for london?</x:v>
      </x:c>
      <x:c r="D537" s="14" t="str">
        <x:v>atomic</x:v>
      </x:c>
      <x:c r="E537" s="14" t="str">
        <x:v>London uses the time zone identifier Europe/London.</x:v>
      </x:c>
      <x:c r="F537" s="14" t="str">
        <x:v>The time zone for London is Europe/London</x:v>
      </x:c>
      <x:c r="G537" s="14" t="n">
        <x:v>1</x:v>
      </x:c>
      <x:c r="H537" s="14" t="n">
        <x:v>1</x:v>
      </x:c>
      <x:c r="I537" s="53" t="b">
        <x:v>1</x:v>
      </x:c>
      <x:c r="J537" s="14" t="str"/>
      <x:c r="K537" s="14" t="str"/>
    </x:row>
    <x:row r="538">
      <x:c r="A538" t="str">
        <x:v>a2_new_minus_old_on_new_a1</x:v>
      </x:c>
      <x:c r="B538" t="str">
        <x:f>"qid:8686216144939155905"</x:f>
        <x:v>qid:8686216144939155905</x:v>
      </x:c>
      <x:c r="C538" s="14" t="str">
        <x:v>What is the name of the time zone for london?</x:v>
      </x:c>
      <x:c r="D538" s="14" t="str">
        <x:v>self_contained</x:v>
      </x:c>
      <x:c r="E538" s="14" t="str">
        <x:v>London uses the time zone identifier Europe/London.</x:v>
      </x:c>
      <x:c r="F538" s="14" t="str">
        <x:v>The time zone for London is Europe/London</x:v>
      </x:c>
      <x:c r="G538" s="14" t="n">
        <x:v>1</x:v>
      </x:c>
      <x:c r="H538" s="14" t="n">
        <x:v>1</x:v>
      </x:c>
      <x:c r="I538" s="53" t="b">
        <x:v>1</x:v>
      </x:c>
      <x:c r="J538" s="14" t="str"/>
      <x:c r="K538" s="14" t="str"/>
    </x:row>
    <x:row r="539">
      <x:c r="A539" t="str">
        <x:v>a2_new_minus_old_on_new_a1</x:v>
      </x:c>
      <x:c r="B539" t="str">
        <x:f>"qid:8686216144939155905"</x:f>
        <x:v>qid:8686216144939155905</x:v>
      </x:c>
      <x:c r="C539" s="14" t="str">
        <x:v>What is the name of the time zone for london?</x:v>
      </x:c>
      <x:c r="D539" s="14" t="str">
        <x:v>span_aligned</x:v>
      </x:c>
      <x:c r="E539" s="14" t="str">
        <x:v>London uses the time zone identifier Europe/London.</x:v>
      </x:c>
      <x:c r="F539" s="14" t="str">
        <x:v>The time zone for London is Europe/London</x:v>
      </x:c>
      <x:c r="G539" s="14" t="n">
        <x:v>1</x:v>
      </x:c>
      <x:c r="H539" s="14" t="n">
        <x:v>1</x:v>
      </x:c>
      <x:c r="I539" s="53" t="b">
        <x:v>1</x:v>
      </x:c>
      <x:c r="J539" s="14" t="str"/>
      <x:c r="K539" s="14" t="str"/>
    </x:row>
    <x:row r="540">
      <x:c r="A540" t="str">
        <x:v>a2_new_minus_old_on_new_a1</x:v>
      </x:c>
      <x:c r="B540" t="str">
        <x:f>"qid:8686216144939155905"</x:f>
        <x:v>qid:8686216144939155905</x:v>
      </x:c>
      <x:c r="C540" s="14" t="str">
        <x:v>What is the name of the time zone for london?</x:v>
      </x:c>
      <x:c r="D540" s="14" t="str">
        <x:v>rewrite_faithful</x:v>
      </x:c>
      <x:c r="E540" s="14" t="str">
        <x:v>London uses the time zone identifier Europe/London.</x:v>
      </x:c>
      <x:c r="F540" s="14" t="str">
        <x:v>The time zone for London is Europe/London</x:v>
      </x:c>
      <x:c r="G540" s="14" t="n">
        <x:v>1</x:v>
      </x:c>
      <x:c r="H540" s="14" t="n">
        <x:v>1</x:v>
      </x:c>
      <x:c r="I540" s="53" t="b">
        <x:v>1</x:v>
      </x:c>
      <x:c r="J540" s="14" t="str"/>
      <x:c r="K540" s="14" t="str"/>
    </x:row>
    <x:row r="541">
      <x:c r="A541" t="str">
        <x:v>a2_new_minus_old_on_new_a1</x:v>
      </x:c>
      <x:c r="B541" t="str">
        <x:f>"qid:87005427005915954"</x:f>
        <x:v>qid:87005427005915954</x:v>
      </x:c>
      <x:c r="C541" s="14" t="str">
        <x:v>When was the last time galway won the hurling all ireland?</x:v>
      </x:c>
      <x:c r="D541" s="14" t="str">
        <x:v>atomic</x:v>
      </x:c>
      <x:c r="E541" s="14" t="str">
        <x:v>Galway achieved its most recent Hurling All-Ireland championship in 1987.</x:v>
      </x:c>
      <x:c r="F541" s="14" t="str">
        <x:v>Galway last won the Hurling All-Ireland title in 1987</x:v>
      </x:c>
      <x:c r="G541" s="14" t="n">
        <x:v>1</x:v>
      </x:c>
      <x:c r="H541" s="14" t="n">
        <x:v>1</x:v>
      </x:c>
      <x:c r="I541" s="53" t="b">
        <x:v>1</x:v>
      </x:c>
      <x:c r="J541" s="14" t="str"/>
      <x:c r="K541" s="14" t="str"/>
    </x:row>
    <x:row r="542">
      <x:c r="A542" t="str">
        <x:v>a2_new_minus_old_on_new_a1</x:v>
      </x:c>
      <x:c r="B542" t="str">
        <x:f>"qid:87005427005915954"</x:f>
        <x:v>qid:87005427005915954</x:v>
      </x:c>
      <x:c r="C542" s="14" t="str">
        <x:v>When was the last time galway won the hurling all ireland?</x:v>
      </x:c>
      <x:c r="D542" s="14" t="str">
        <x:v>self_contained</x:v>
      </x:c>
      <x:c r="E542" s="14" t="str">
        <x:v>Galway achieved its most recent Hurling All-Ireland championship in 1987.</x:v>
      </x:c>
      <x:c r="F542" s="14" t="str">
        <x:v>Galway last won the Hurling All-Ireland title in 1987</x:v>
      </x:c>
      <x:c r="G542" s="14" t="n">
        <x:v>1</x:v>
      </x:c>
      <x:c r="H542" s="14" t="n">
        <x:v>1</x:v>
      </x:c>
      <x:c r="I542" s="53" t="b">
        <x:v>1</x:v>
      </x:c>
      <x:c r="J542" s="14" t="str"/>
      <x:c r="K542" s="14" t="str"/>
    </x:row>
    <x:row r="543">
      <x:c r="A543" t="str">
        <x:v>a2_new_minus_old_on_new_a1</x:v>
      </x:c>
      <x:c r="B543" t="str">
        <x:f>"qid:87005427005915954"</x:f>
        <x:v>qid:87005427005915954</x:v>
      </x:c>
      <x:c r="C543" s="14" t="str">
        <x:v>When was the last time galway won the hurling all ireland?</x:v>
      </x:c>
      <x:c r="D543" s="14" t="str">
        <x:v>span_aligned</x:v>
      </x:c>
      <x:c r="E543" s="14" t="str">
        <x:v>Galway achieved its most recent Hurling All-Ireland championship in 1987.</x:v>
      </x:c>
      <x:c r="F543" s="14" t="str">
        <x:v>Galway last won the Hurling All-Ireland title in 1987</x:v>
      </x:c>
      <x:c r="G543" s="14" t="n">
        <x:v>1</x:v>
      </x:c>
      <x:c r="H543" s="14" t="n">
        <x:v>1</x:v>
      </x:c>
      <x:c r="I543" s="53" t="b">
        <x:v>1</x:v>
      </x:c>
      <x:c r="J543" s="14" t="str"/>
      <x:c r="K543" s="14" t="str"/>
    </x:row>
    <x:row r="544">
      <x:c r="A544" t="str">
        <x:v>a2_new_minus_old_on_new_a1</x:v>
      </x:c>
      <x:c r="B544" t="str">
        <x:f>"qid:87005427005915954"</x:f>
        <x:v>qid:87005427005915954</x:v>
      </x:c>
      <x:c r="C544" s="14" t="str">
        <x:v>When was the last time galway won the hurling all ireland?</x:v>
      </x:c>
      <x:c r="D544" s="14" t="str">
        <x:v>rewrite_faithful</x:v>
      </x:c>
      <x:c r="E544" s="14" t="str">
        <x:v>Galway achieved its most recent Hurling All-Ireland championship in 1987.</x:v>
      </x:c>
      <x:c r="F544" s="14" t="str">
        <x:v>Galway last won the Hurling All-Ireland title in 1987</x:v>
      </x:c>
      <x:c r="G544" s="14" t="n">
        <x:v>1</x:v>
      </x:c>
      <x:c r="H544" s="14" t="n">
        <x:v>1</x:v>
      </x:c>
      <x:c r="I544" s="53" t="b">
        <x:v>1</x:v>
      </x:c>
      <x:c r="J544" s="14" t="str"/>
      <x:c r="K544" s="14" t="str"/>
    </x:row>
  </x:sheetData>
  <x:mergeCells>
    <x:mergeCell ref="A1:J1"/>
    <x:mergeCell ref="A2:J2"/>
  </x:mergeCells>
  <x:conditionalFormatting sqref="I16:I544">
    <x:cfRule type="containsText" dxfId="2" priority="1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e18e6531144f44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2" hidden="0" customWidth="1"/>
    <x:col min="5" max="5" width="48" hidden="0" customWidth="1"/>
    <x:col min="6" max="6" width="16" hidden="0" customWidth="1"/>
    <x:col min="7" max="7" width="60" hidden="0" customWidth="1"/>
    <x:col min="8" max="8" width="60" hidden="0" customWidth="1"/>
    <x:col min="9" max="9" width="23" hidden="0" customWidth="1"/>
    <x:col min="10" max="10" width="23" hidden="0" customWidth="1"/>
    <x:col min="11" max="11" width="16" hidden="0" customWidth="1"/>
    <x:col min="12" max="12" width="60" hidden="0" customWidth="1"/>
    <x:col min="13" max="13" width="60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28" customHeight="1">
      <x:c r="A1" s="31" t="str">
        <x:v>comparison</x:v>
      </x:c>
      <x:c r="B1" s="32" t="str">
        <x:v>metric</x:v>
      </x:c>
      <x:c r="C1" s="32" t="str">
        <x:v>direction</x:v>
      </x:c>
      <x:c r="D1" s="35" t="str">
        <x:v>query_id</x:v>
      </x:c>
      <x:c r="E1" s="32" t="str">
        <x:v>question</x:v>
      </x:c>
      <x:c r="F1" s="32" t="str">
        <x:v>baseline_arm</x:v>
      </x:c>
      <x:c r="G1" s="32" t="str">
        <x:v>baseline_text</x:v>
      </x:c>
      <x:c r="H1" s="32" t="str">
        <x:v>baseline_source_span</x:v>
      </x:c>
      <x:c r="I1" s="32" t="str">
        <x:v>baseline_errors</x:v>
      </x:c>
      <x:c r="J1" s="32" t="str">
        <x:v>baseline_coverage</x:v>
      </x:c>
      <x:c r="K1" s="32" t="str">
        <x:v>treatment_arm</x:v>
      </x:c>
      <x:c r="L1" s="32" t="str">
        <x:v>treatment_text</x:v>
      </x:c>
      <x:c r="M1" s="32" t="str">
        <x:v>treatment_source_span</x:v>
      </x:c>
      <x:c r="N1" s="32" t="str">
        <x:v>treatment_errors</x:v>
      </x:c>
      <x:c r="O1" s="32" t="str">
        <x:v>treatment_coverage</x:v>
      </x:c>
      <x:c r="P1" s="33" t="str">
        <x:v>interpretation_status</x:v>
      </x:c>
    </x:row>
    <x:row r="2">
      <x:c r="A2" s="54" t="str">
        <x:v>a2_new_minus_old_on_old_a1</x:v>
      </x:c>
      <x:c r="B2" s="54" t="str">
        <x:v>span_aligned</x:v>
      </x:c>
      <x:c r="C2" s="54" t="str">
        <x:v>improved</x:v>
      </x:c>
      <x:c r="D2" s="54" t="str">
        <x:f>"qid:3605104154738105404"</x:f>
        <x:v>qid:3605104154738105404</x:v>
      </x:c>
      <x:c r="E2" s="15" t="str">
        <x:v>What episode does jason gideon die in criminal minds?</x:v>
      </x:c>
      <x:c r="F2" s="15" t="str">
        <x:v>old_old</x:v>
      </x:c>
      <x:c r="G2" s="15" t="str">
        <x:v>Jason Gideon is a character who dies in the TV show Criminal Minds in the Season 10 episode titled "Nelson's Sparrow".</x:v>
      </x:c>
      <x:c r="H2" s="15" t="str">
        <x:v>Jason Gideon dies in the Season 10 episode "Nelson's Sparrow"</x:v>
      </x:c>
      <x:c r="I2" s="15" t="str">
        <x:v>meaning_changed;span_misaligned</x:v>
      </x:c>
      <x:c r="J2" s="15" t="str">
        <x:v>NA</x:v>
      </x:c>
      <x:c r="K2" s="15" t="str">
        <x:v>old_new</x:v>
      </x:c>
      <x:c r="L2" s="15" t="str">
        <x:v>Jason Gideon is a character who dies in the TV show Criminal Minds in the Season 10 episode titled "Nelson's Sparrow".</x:v>
      </x:c>
      <x:c r="M2" s="15" t="str">
        <x:v>Jason Gideon dies in the Season 10 episode "Nelson's Sparrow"</x:v>
      </x:c>
      <x:c r="N2" s="15" t="str"/>
      <x:c r="O2" s="15" t="str">
        <x:v>NA</x:v>
      </x:c>
      <x:c r="P2" s="15" t="str">
        <x:v>requires_manual_narrative_review</x:v>
      </x:c>
    </x:row>
    <x:row r="3">
      <x:c r="A3" s="54" t="str">
        <x:v>a2_new_minus_old_on_old_a1</x:v>
      </x:c>
      <x:c r="B3" s="54" t="str">
        <x:v>self_contained</x:v>
      </x:c>
      <x:c r="C3" s="54" t="str">
        <x:v>regressed</x:v>
      </x:c>
      <x:c r="D3" s="54" t="str">
        <x:f>"qid:-4456614433280196572"</x:f>
        <x:v>qid:-4456614433280196572</x:v>
      </x:c>
      <x:c r="E3" s="15" t="str">
        <x:v>What season does meredith and derek get married in grey's anatomy?</x:v>
      </x:c>
      <x:c r="F3" s="15" t="str">
        <x:v>old_old</x:v>
      </x:c>
      <x:c r="G3" s="15" t="str">
        <x:v>Meredith and Derek are married in the fifth season of the show.</x:v>
      </x:c>
      <x:c r="H3" s="15" t="str">
        <x:v>Meredith and Derek get married in season five [3].</x:v>
      </x:c>
      <x:c r="I3" s="15" t="str"/>
      <x:c r="J3" s="15" t="str">
        <x:v>NA</x:v>
      </x:c>
      <x:c r="K3" s="15" t="str">
        <x:v>old_new</x:v>
      </x:c>
      <x:c r="L3" s="15" t="str">
        <x:v>Meredith and Derek are married in the fifth season of the show.</x:v>
      </x:c>
      <x:c r="M3" s="15" t="str">
        <x:v>Meredith and Derek get married in season five [3].</x:v>
      </x:c>
      <x:c r="N3" s="15" t="str">
        <x:v>unresolved_reference</x:v>
      </x:c>
      <x:c r="O3" s="15" t="str">
        <x:v>NA</x:v>
      </x:c>
      <x:c r="P3" s="15" t="str">
        <x:v>requires_manual_narrative_review</x:v>
      </x:c>
    </x:row>
    <x:row r="4">
      <x:c r="A4" s="54" t="str">
        <x:v>a2_new_minus_old_on_new_a1</x:v>
      </x:c>
      <x:c r="B4" s="54" t="str">
        <x:v>span_aligned</x:v>
      </x:c>
      <x:c r="C4" s="54" t="str">
        <x:v>regressed</x:v>
      </x:c>
      <x:c r="D4" s="54" t="str">
        <x:f>"qid:-3344541168958463110"</x:f>
        <x:v>qid:-3344541168958463110</x:v>
      </x:c>
      <x:c r="E4" s="15" t="str">
        <x:v>Who fought with an angel in the bible?</x:v>
      </x:c>
      <x:c r="F4" s="15" t="str">
        <x:v>new_old</x:v>
      </x:c>
      <x:c r="G4" s="15" t="str">
        <x:v>Jacob engaged in a physical confrontation with an angel in the Bible.</x:v>
      </x:c>
      <x:c r="H4" s="15" t="str">
        <x:v>Jacob fought with an angel</x:v>
      </x:c>
      <x:c r="I4" s="15" t="str"/>
      <x:c r="J4" s="15" t="str">
        <x:v>NA</x:v>
      </x:c>
      <x:c r="K4" s="15" t="str">
        <x:v>new_new</x:v>
      </x:c>
      <x:c r="L4" s="15" t="str">
        <x:v>Jacob engaged in a physical confrontation with an angel in the Bible.</x:v>
      </x:c>
      <x:c r="M4" s="15" t="str">
        <x:v>Jacob fought with an angel</x:v>
      </x:c>
      <x:c r="N4" s="15" t="str">
        <x:v>meaning_changed;span_misaligned</x:v>
      </x:c>
      <x:c r="O4" s="15" t="str">
        <x:v>NA</x:v>
      </x:c>
      <x:c r="P4" s="15" t="str">
        <x:v>requires_manual_narrative_review</x:v>
      </x:c>
    </x:row>
    <x:row r="5">
      <x:c r="A5" s="54" t="str">
        <x:v>a1_new_minus_old</x:v>
      </x:c>
      <x:c r="B5" s="54" t="str">
        <x:v>verifiable</x:v>
      </x:c>
      <x:c r="C5" s="54" t="str">
        <x:v>improved</x:v>
      </x:c>
      <x:c r="D5" s="54" t="str">
        <x:f>"qid:-1859261645300630518"</x:f>
        <x:v>qid:-1859261645300630518</x:v>
      </x:c>
      <x:c r="E5" s="15" t="str">
        <x:v>When does steve come back in shameless season 5?</x:v>
      </x:c>
      <x:c r="F5" s="15" t="str">
        <x:v>old</x:v>
      </x:c>
      <x:c r="G5" s="15" t="str">
        <x:v>I don't know.
[2]</x:v>
      </x:c>
      <x:c r="H5" s="15" t="str"/>
      <x:c r="I5" s="15" t="str">
        <x:v>citation_only;meta_nonclaim</x:v>
      </x:c>
      <x:c r="J5" s="15" t="str">
        <x:v>NA</x:v>
      </x:c>
      <x:c r="K5" s="15" t="str">
        <x:v>new</x:v>
      </x:c>
      <x:c r="L5" s="15" t="str">
        <x:v>Steve Howey returns in Shameless season 5 in episode 1 titled "The Big Sick", which premiered on January 11, 2015 [2].</x:v>
      </x:c>
      <x:c r="M5" s="15" t="str"/>
      <x:c r="N5" s="15" t="str">
        <x:v>multi_fact</x:v>
      </x:c>
      <x:c r="O5" s="15" t="str">
        <x:v>NA</x:v>
      </x:c>
      <x:c r="P5" s="15" t="str">
        <x:v>requires_manual_narrative_review</x:v>
      </x:c>
    </x:row>
    <x:row r="6">
      <x:c r="A6" s="54" t="str">
        <x:v>a1_new_minus_old</x:v>
      </x:c>
      <x:c r="B6" s="54" t="str">
        <x:v>atomic</x:v>
      </x:c>
      <x:c r="C6" s="54" t="str">
        <x:v>regressed</x:v>
      </x:c>
      <x:c r="D6" s="54" t="str">
        <x:f>"qid:7494804303418493420"</x:f>
        <x:v>qid:7494804303418493420</x:v>
      </x:c>
      <x:c r="E6" s="15" t="str">
        <x:v>Movie with the song sunshine on my shoulders?</x:v>
      </x:c>
      <x:c r="F6" s="15" t="str">
        <x:v>old</x:v>
      </x:c>
      <x:c r="G6" s="15" t="str">
        <x:v>[1]
The movie with the song "Sunshine on My Shoulders" is titled "Sunshine," which aired on NBC in 1973.</x:v>
      </x:c>
      <x:c r="H6" s="15" t="str"/>
      <x:c r="I6" s="15" t="str">
        <x:v>citation_only</x:v>
      </x:c>
      <x:c r="J6" s="15" t="str">
        <x:v>NA</x:v>
      </x:c>
      <x:c r="K6" s="15" t="str">
        <x:v>new</x:v>
      </x:c>
      <x:c r="L6" s="15" t="str">
        <x:v>The movie "Sunshine" aired on NBC in 1973 and used the song "Sunshine on My Shoulders" as its theme [1].</x:v>
      </x:c>
      <x:c r="M6" s="15" t="str"/>
      <x:c r="N6" s="15" t="str">
        <x:v>multi_fact</x:v>
      </x:c>
      <x:c r="O6" s="15" t="str">
        <x:v>NA</x:v>
      </x:c>
      <x:c r="P6" s="15" t="str">
        <x:v>requires_manual_narrative_review</x:v>
      </x:c>
    </x:row>
    <x:row r="7">
      <x:c r="A7" s="54" t="str">
        <x:v>a2_coverage_new_minus_old_on_old_a1</x:v>
      </x:c>
      <x:c r="B7" s="54" t="str">
        <x:v>fact_coverage_ordinal</x:v>
      </x:c>
      <x:c r="C7" s="54" t="str">
        <x:v>improved</x:v>
      </x:c>
      <x:c r="D7" s="54" t="str">
        <x:f>"qid:6514531923811923780"</x:f>
        <x:v>qid:6514531923811923780</x:v>
      </x:c>
      <x:c r="E7" s="15" t="str">
        <x:v>When does disney's food and wine festival end?</x:v>
      </x:c>
      <x:c r="F7" s="15" t="str">
        <x:v>old_old</x:v>
      </x:c>
      <x:c r="G7" s="15" t="str">
        <x:v>The Disney's Food and Wine Festival ends on November 13 [1] and also ends on November 12th, 2018 [2]. [1][2]</x:v>
      </x:c>
      <x:c r="H7" s="15" t="str">
        <x:v>- The Disney's Food and Wine Festival also concluded on November 12, 2018.</x:v>
      </x:c>
      <x:c r="I7" s="15" t="str">
        <x:v>fact_omission</x:v>
      </x:c>
      <x:c r="J7" s="15" t="str">
        <x:v>partial</x:v>
      </x:c>
      <x:c r="K7" s="15" t="str">
        <x:v>old_new</x:v>
      </x:c>
      <x:c r="L7" s="15" t="str">
        <x:v>The Disney's Food and Wine Festival ends on November 13 [1] and also ends on November 12th, 2018 [2]. [1][2]</x:v>
      </x:c>
      <x:c r="M7" s="15" t="str">
        <x:v>- The Disney's Food and Wine Festival concluded on November 13.
- The Disney's Food and Wine Festival also concluded on November 12, 2018.</x:v>
      </x:c>
      <x:c r="N7" s="15" t="str"/>
      <x:c r="O7" s="15" t="str">
        <x:v>complete</x:v>
      </x:c>
      <x:c r="P7" s="15" t="str">
        <x:v>requires_manual_narrative_review</x:v>
      </x:c>
    </x:row>
    <x:row r="8">
      <x:c r="A8" s="54" t="str">
        <x:v>a2_coverage_new_minus_old_on_new_a1</x:v>
      </x:c>
      <x:c r="B8" s="54" t="str">
        <x:v>fact_coverage_ordinal</x:v>
      </x:c>
      <x:c r="C8" s="54" t="str">
        <x:v>improved</x:v>
      </x:c>
      <x:c r="D8" s="54" t="str">
        <x:f>"qid:-5942352520455511076"</x:f>
        <x:v>qid:-5942352520455511076</x:v>
      </x:c>
      <x:c r="E8" s="15" t="str">
        <x:v>Where can adipose tissue be found in the body?</x:v>
      </x:c>
      <x:c r="F8" s="15" t="str">
        <x:v>new_old</x:v>
      </x:c>
      <x:c r="G8" s="15" t="str">
        <x:v>Adipose tissue is located beneath the skin (subcutaneous fat) [1][4], around internal organs (visceral fat) [1][3], in bone marrow (yellow bone marrow) [1], intermuscularly [1], and in the breast tissue [1].</x:v>
      </x:c>
      <x:c r="H8" s="15" t="str">
        <x:v>- Adipose tissue exists beneath the skin as subcutaneous fat.
- Adipose tissue surrounds internal organs as visceral fat.</x:v>
      </x:c>
      <x:c r="I8" s="15" t="str">
        <x:v>fact_omission</x:v>
      </x:c>
      <x:c r="J8" s="15" t="str">
        <x:v>partial</x:v>
      </x:c>
      <x:c r="K8" s="15" t="str">
        <x:v>new_new</x:v>
      </x:c>
      <x:c r="L8" s="15" t="str">
        <x:v>Adipose tissue is located beneath the skin (subcutaneous fat) [1][4], around internal organs (visceral fat) [1][3], in bone marrow (yellow bone marrow) [1], intermuscularly [1], and in the breast tissue [1].</x:v>
      </x:c>
      <x:c r="M8" s="15" t="str">
        <x:v>- Adipose tissue exists beneath the skin as subcutaneous fat.
- Adipose tissue surrounds internal organs as visceral fat.
- Adipose tissue is present in the yellow bone marrow of bones.
- Adipose tissue is situated between muscle fibers intermuscularly.
- Adipose tissue is found in the breast tissue.</x:v>
      </x:c>
      <x:c r="N8" s="15" t="str"/>
      <x:c r="O8" s="15" t="str">
        <x:v>complete</x:v>
      </x:c>
      <x:c r="P8" s="15" t="str">
        <x:v>requires_manual_narrative_review</x:v>
      </x:c>
    </x:row>
    <x:row r="9">
      <x:c r="A9" s="54" t="str">
        <x:v>a2_new_minus_old_on_new_a1</x:v>
      </x:c>
      <x:c r="B9" s="54" t="str">
        <x:v>self_contained</x:v>
      </x:c>
      <x:c r="C9" s="54" t="str">
        <x:v>improved</x:v>
      </x:c>
      <x:c r="D9" s="54" t="str">
        <x:f>"qid:-8286966211355378010"</x:f>
        <x:v>qid:-8286966211355378010</x:v>
      </x:c>
      <x:c r="E9" s="15" t="str">
        <x:v>What is the objective of tour de france?</x:v>
      </x:c>
      <x:c r="F9" s="15" t="str">
        <x:v>new_old</x:v>
      </x:c>
      <x:c r="G9" s="15" t="str">
        <x:v>The Tour de France aims to identify the top professional bicycle racer.
The competition consists of multiple stages, each lasting a day.
The Tour de France spans a total of 23 days.</x:v>
      </x:c>
      <x:c r="H9" s="15" t="str">
        <x:v>The objective of the Tour de France is to determine the best professional bicycle racer
through a series of day-long stages
over 23 days</x:v>
      </x:c>
      <x:c r="I9" s="15" t="str">
        <x:v>meaning_changed;span_misaligned;unresolved_reference</x:v>
      </x:c>
      <x:c r="J9" s="15" t="str">
        <x:v>NA</x:v>
      </x:c>
      <x:c r="K9" s="15" t="str">
        <x:v>new_new</x:v>
      </x:c>
      <x:c r="L9" s="15" t="str">
        <x:v>The Tour de France aims to identify the top professional bicycle racer.
The Tour de France spans a total of 23 days.
The competition consists of multiple stages, each lasting a day.</x:v>
      </x:c>
      <x:c r="M9" s="15" t="str">
        <x:v>The objective of the Tour de France is to determine the best professional bicycle racer
over 23 days
through a series of day-long stages</x:v>
      </x:c>
      <x:c r="N9" s="15" t="str">
        <x:v>meaning_changed;span_misaligned</x:v>
      </x:c>
      <x:c r="O9" s="15" t="str">
        <x:v>NA</x:v>
      </x:c>
      <x:c r="P9" s="15" t="str">
        <x:v>requires_manual_narrative_review</x:v>
      </x:c>
    </x:row>
  </x:sheetData>
  <x:conditionalFormatting sqref="C2:C9">
    <x:cfRule type="containsText" dxfId="3" priority="1" operator="containsText" text="improved"/>
    <x:cfRule type="containsText" dxfId="4" priority="2" operator="containsText" text="regressed"/>
  </x:conditionalFormatting>
  <x:pageMargins left="0.7" right="0.7" top="0.75" bottom="0.75" header="0.3" footer="0.3"/>
  <x:tableParts count="1">
    <x:tablePart xmlns:r="http://schemas.openxmlformats.org/officeDocument/2006/relationships" r:id="R3de3089eeb0c4928"/>
  </x:tableParts>
</x:worksheet>
</file>